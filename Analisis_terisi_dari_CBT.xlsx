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PETUNJUK" sheetId="1" state="visible" r:id="rId3"/>
    <sheet name="KUNCI" sheetId="2" state="visible" r:id="rId4"/>
    <sheet name="IDENTITAS" sheetId="3" state="visible" r:id="rId5"/>
    <sheet name="JAWABAN" sheetId="4" state="visible" r:id="rId6"/>
    <sheet name="SKOR" sheetId="5" state="visible" r:id="rId7"/>
    <sheet name="NILAI" sheetId="6" state="visible" r:id="rId8"/>
    <sheet name="ANALISIS" sheetId="7" state="visible" r:id="rId9"/>
    <sheet name="PENGECOH" sheetId="8" state="visible" r:id="rId10"/>
    <sheet name="REKAP" sheetId="9" state="visible" r:id="rId11"/>
    <sheet name="REMEDIAL_PENGAYAAN" sheetId="10" state="visible" r:id="rId12"/>
  </sheets>
  <definedNames>
    <definedName function="false" hidden="false" localSheetId="9" name="_xlnm.Print_Area" vbProcedure="false">REMEDIAL_PENGAYAAN!$A$1:$J$145</definedName>
    <definedName function="false" hidden="true" localSheetId="9" name="_xlnm._FilterDatabase" vbProcedure="false">REMEDIAL_PENGAYAAN!$A$42:$J$92</definedName>
    <definedName function="false" hidden="false" name="BATAS_BAHAS_ULANG" vbProcedure="false">REMEDIAL_PENGAYAAN!$E$19</definedName>
    <definedName function="false" hidden="false" name="BATAS_INTENSIF" vbProcedure="false">REMEDIAL_PENGAYAAN!$E$18</definedName>
    <definedName function="false" hidden="false" name="BATAS_MUDAH" vbProcedure="false">IDENTITAS!$B$24</definedName>
    <definedName function="false" hidden="false" name="BATAS_SUKAR" vbProcedure="false">IDENTITAS!$B$23</definedName>
    <definedName function="false" hidden="false" name="DP_B1" vbProcedure="false">IDENTITAS!$B$25</definedName>
    <definedName function="false" hidden="false" name="DP_B2" vbProcedure="false">IDENTITAS!$B$26</definedName>
    <definedName function="false" hidden="false" name="DP_B3" vbProcedure="false">IDENTITAS!$B$27</definedName>
    <definedName function="false" hidden="false" name="GURU_NAMA" vbProcedure="false">IDENTITAS!$B$13</definedName>
    <definedName function="false" hidden="false" name="JENIS_TES" vbProcedure="false">IDENTITAS!$B$11</definedName>
    <definedName function="false" hidden="false" name="KELAS" vbProcedure="false">IDENTITAS!$B$10</definedName>
    <definedName function="false" hidden="false" name="KEPALA_NAMA" vbProcedure="false">IDENTITAS!$B$15</definedName>
    <definedName function="false" hidden="false" name="K_SOAL" vbProcedure="false">REKAP!$C$7</definedName>
    <definedName function="false" hidden="false" name="MAPEL" vbProcedure="false">IDENTITAS!$B$9</definedName>
    <definedName function="false" hidden="false" name="MEAN_SKOR" vbProcedure="false">REKAP!$C$10</definedName>
    <definedName function="false" hidden="false" name="NAMA_MADRASAH" vbProcedure="false">IDENTITAS!$B$5</definedName>
    <definedName function="false" hidden="false" name="NILAI_KKM" vbProcedure="false">IDENTITAS!$B$20</definedName>
    <definedName function="false" hidden="false" name="NIP_GURU" vbProcedure="false">IDENTITAS!$B$14</definedName>
    <definedName function="false" hidden="false" name="NIP_KEPALA" vbProcedure="false">IDENTITAS!$B$16</definedName>
    <definedName function="false" hidden="false" name="N_GRUP" vbProcedure="false">REKAP!$C$16</definedName>
    <definedName function="false" hidden="false" name="N_PENGAYAAN" vbProcedure="false">REMEDIAL_PENGAYAAN!$E$9</definedName>
    <definedName function="false" hidden="false" name="N_REMEDIAL" vbProcedure="false">REMEDIAL_PENGAYAAN!$E$10</definedName>
    <definedName function="false" hidden="false" name="N_SISWA" vbProcedure="false">REKAP!$C$6</definedName>
    <definedName function="false" hidden="false" name="PERSEN_GRUP" vbProcedure="false">IDENTITAS!$B$21</definedName>
    <definedName function="false" hidden="false" name="PERSEN_PENGECOH" vbProcedure="false">IDENTITAS!$B$28</definedName>
    <definedName function="false" hidden="false" name="R_TABEL" vbProcedure="false">REKAP!$C$18</definedName>
    <definedName function="false" hidden="false" name="SD_SKOR" vbProcedure="false">REKAP!$C$11</definedName>
    <definedName function="false" hidden="false" name="SEMESTER" vbProcedure="false">IDENTITAS!$B$8</definedName>
    <definedName function="false" hidden="false" name="TAHUN_AJAR" vbProcedure="false">IDENTITAS!$B$7</definedName>
    <definedName function="false" hidden="false" name="TANGGAL_ANALISIS" vbProcedure="false">IDENTITAS!$B$17</definedName>
    <definedName function="false" hidden="false" name="TARAF_ALPHA" vbProcedure="false">IDENTITAS!$B$22</definedName>
    <definedName function="false" hidden="false" name="TEMPAT_TTD" vbProcedure="false">IDENTITAS!$B$6</definedName>
    <definedName function="false" hidden="false" name="VAR_SKOR" vbProcedure="false">REKAP!$C$12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<sst xmlns="http://schemas.openxmlformats.org/spreadsheetml/2006/main" count="1621" uniqueCount="347">
  <si>
    <t xml:space="preserve">APLIKASI ANALISIS BUTIR SOAL PILIHAN GANDA</t>
  </si>
  <si>
    <t xml:space="preserve">A. CARA PENGGUNAAN</t>
  </si>
  <si>
    <t xml:space="preserve">1</t>
  </si>
  <si>
    <t xml:space="preserve">Buka sheet IDENTITAS: isi mata pelajaran, kelas, nama guru, kepala madrasah; sesuaikan KKM dan parameter bila perlu.</t>
  </si>
  <si>
    <t xml:space="preserve">2</t>
  </si>
  <si>
    <t xml:space="preserve">Buka sheet KUNCI: isi kunci jawaban (A/B/C/D) tiap nomor. Maksimal 40 butir; nomor yang dikosongkan tidak dianalisis.</t>
  </si>
  <si>
    <t xml:space="preserve">3</t>
  </si>
  <si>
    <t xml:space="preserve">Buka sheet JAWABAN: isi nama siswa dan pilihan jawaban tiap butir (A/B/C/D). Maksimal 50 siswa; kosongkan sel bila siswa tidak menjawab (dihitung salah).</t>
  </si>
  <si>
    <t xml:space="preserve">4</t>
  </si>
  <si>
    <t xml:space="preserve">Data yang ada saat ini ADALAH DATA CONTOH (32 siswa fiktif dan kunci acak). Hapus isian di sheet KUNCI (B6:B45) dan JAWABAN (B6:AR55) sebelum memasukkan data asli.</t>
  </si>
  <si>
    <t xml:space="preserve">5</t>
  </si>
  <si>
    <t xml:space="preserve">Sheet SKOR, NILAI, ANALISIS, PENGECOH, dan REKAP terisi otomatis oleh rumus - jangan diketik ulang.</t>
  </si>
  <si>
    <t xml:space="preserve">6</t>
  </si>
  <si>
    <t xml:space="preserve">Hasil dibaca di REKAP (ringkasan, grafik, kesimpulan, tanda tangan) dan ANALISIS (per butir). Semua sheet hasil sudah diatur untuk dicetak landscape.</t>
  </si>
  <si>
    <t xml:space="preserve">B. LEGENDA</t>
  </si>
  <si>
    <t xml:space="preserve">Kuning, huruf biru: sel isian (boleh diubah)</t>
  </si>
  <si>
    <t xml:space="preserve">Putih, huruf hitam: rumus otomatis (jangan diubah)</t>
  </si>
  <si>
    <t xml:space="preserve">C. RUMUS DAN KRITERIA</t>
  </si>
  <si>
    <t xml:space="preserve">Aspek</t>
  </si>
  <si>
    <t xml:space="preserve">Rumus</t>
  </si>
  <si>
    <t xml:space="preserve">Kriteria</t>
  </si>
  <si>
    <t xml:space="preserve">Tingkat kesukaran</t>
  </si>
  <si>
    <t xml:space="preserve">p = B / N  (B = jumlah penjawab benar, N = jumlah peserta)</t>
  </si>
  <si>
    <t xml:space="preserve">Sukar: p &lt;= 0,30; Sedang: 0,30 &lt; p &lt;= 0,70; Mudah: p &gt; 0,70</t>
  </si>
  <si>
    <t xml:space="preserve">Daya pembeda</t>
  </si>
  <si>
    <t xml:space="preserve">D = (BA - BB) / n  (kelompok atas dan bawah masing-masing 27% peserta, diurutkan menurut skor total)</t>
  </si>
  <si>
    <t xml:space="preserve">D &lt; 0 sangat jelek; 0 - 0,20 jelek; 0,21 - 0,40 cukup; 0,41 - 0,70 baik; &gt; 0,70 baik sekali</t>
  </si>
  <si>
    <t xml:space="preserve">Validitas butir</t>
  </si>
  <si>
    <t xml:space="preserve">r pbis = (Mp - Mt) / SDt x akar(p/q)  (Mp = rata-rata skor total penjawab benar; Mt, SDt = rata-rata &amp; SD skor total)</t>
  </si>
  <si>
    <t xml:space="preserve">Valid bila r hitung &gt; r tabel (alpha 5%, db = N - 2). Bila semua/tidak ada yang menjawab benar, r tidak dapat dihitung dan butir dianggap tidak valid.</t>
  </si>
  <si>
    <t xml:space="preserve">Reliabilitas tes</t>
  </si>
  <si>
    <t xml:space="preserve">KR-20: r11 = k/(k-1) x (1 - Sum(pq) / Varians skor total)</t>
  </si>
  <si>
    <t xml:space="preserve">&gt;= 0,80 sangat tinggi; 0,60 - 0,79 tinggi; 0,40 - 0,59 cukup; 0,20 - 0,39 rendah; &lt; 0,20 sangat rendah</t>
  </si>
  <si>
    <t xml:space="preserve">Efektivitas pengecoh</t>
  </si>
  <si>
    <t xml:space="preserve">Persentase peserta yang memilih tiap opsi (juga jumlah di kelompok atas &amp; bawah)</t>
  </si>
  <si>
    <t xml:space="preserve">Pengecoh berfungsi bila dipilih &gt;= 5% peserta</t>
  </si>
  <si>
    <t xml:space="preserve">Rekomendasi</t>
  </si>
  <si>
    <t xml:space="preserve">Tiga syarat: (1) valid, (2) daya pembeda &gt; 0,20, (3) tingkat kesukaran sedang</t>
  </si>
  <si>
    <t xml:space="preserve">3 syarat terpenuhi = Diterima; 2 syarat = Direvisi; 1 atau 0 syarat, atau D negatif = Diganti/Dibuang</t>
  </si>
  <si>
    <t xml:space="preserve">D. CATATAN</t>
  </si>
  <si>
    <t xml:space="preserve">-</t>
  </si>
  <si>
    <t xml:space="preserve">Setiap jawaban benar diberi skor 1 dan salah/kosong 0. Nilai = skor total / jumlah butir x 100.</t>
  </si>
  <si>
    <t xml:space="preserve">Angka kriteria di atas adalah nilai awal dan mengikuti parameter di sheet IDENTITAS bila Anda mengubahnya. Kriteria mengacu pada Arikunto, Dasar-Dasar Evaluasi Pendidikan.</t>
  </si>
  <si>
    <t xml:space="preserve">Korelasi butir-total tidak dikoreksi (butir ikut dihitung dalam skor total). Untuk hasil yang stabil, disarankan jumlah peserta minimal 30 siswa.</t>
  </si>
  <si>
    <t xml:space="preserve">Kolom bantu abu-abu di ANALISIS (T:V) dan SKOR (kunci urut) dipakai oleh rumus; jangan dihapus.</t>
  </si>
  <si>
    <t xml:space="preserve">KUNCI JAWABAN</t>
  </si>
  <si>
    <t xml:space="preserve">DATA CONTOH - ganti dengan kunci jawaban asli. Kosongkan nomor yang tidak dipakai.</t>
  </si>
  <si>
    <t xml:space="preserve">No</t>
  </si>
  <si>
    <t xml:space="preserve">Kunci Jawaban (A/B/C/D)</t>
  </si>
  <si>
    <t xml:space="preserve">Materi / Indikator Soal (opsional)</t>
  </si>
  <si>
    <t xml:space="preserve">A</t>
  </si>
  <si>
    <t xml:space="preserve">D</t>
  </si>
  <si>
    <t xml:space="preserve">B</t>
  </si>
  <si>
    <t xml:space="preserve">C</t>
  </si>
  <si>
    <t xml:space="preserve">IDENTITAS &amp; PARAMETER ANALISIS</t>
  </si>
  <si>
    <t xml:space="preserve">Sel berwarna kuning dengan huruf biru = isian yang boleh diubah.</t>
  </si>
  <si>
    <t xml:space="preserve">A. IDENTITAS</t>
  </si>
  <si>
    <t xml:space="preserve">Nama Madrasah</t>
  </si>
  <si>
    <t xml:space="preserve">MTsN 3 Subang</t>
  </si>
  <si>
    <t xml:space="preserve">Tempat (untuk tanda tangan)</t>
  </si>
  <si>
    <t xml:space="preserve">Subang</t>
  </si>
  <si>
    <t xml:space="preserve">Tahun Pelajaran</t>
  </si>
  <si>
    <t xml:space="preserve">2025-2026</t>
  </si>
  <si>
    <t xml:space="preserve">Semester</t>
  </si>
  <si>
    <t xml:space="preserve">Ganjil</t>
  </si>
  <si>
    <t xml:space="preserve">Pilih Ganjil / Genap (asumsi awal: Ganjil)</t>
  </si>
  <si>
    <t xml:space="preserve">Mata Pelajaran</t>
  </si>
  <si>
    <t xml:space="preserve">Bahasa Indonesia</t>
  </si>
  <si>
    <t xml:space="preserve">Wajib diisi</t>
  </si>
  <si>
    <t xml:space="preserve">Kelas</t>
  </si>
  <si>
    <t xml:space="preserve">IX G</t>
  </si>
  <si>
    <t xml:space="preserve">Jenis Penilaian</t>
  </si>
  <si>
    <t xml:space="preserve">Penilaian Akhir Semester</t>
  </si>
  <si>
    <t xml:space="preserve">Ubah sesuai ulangan yang dianalisis (PH/PTS/PAS/dll.)</t>
  </si>
  <si>
    <t xml:space="preserve">Bentuk Soal</t>
  </si>
  <si>
    <t xml:space="preserve">Pilihan Ganda (opsi A-D)</t>
  </si>
  <si>
    <t xml:space="preserve">Aplikasi ini untuk pilihan ganda 4 opsi</t>
  </si>
  <si>
    <t xml:space="preserve">Guru Mata Pelajaran</t>
  </si>
  <si>
    <t xml:space="preserve">Enok Demiyati, S.Pd.</t>
  </si>
  <si>
    <t xml:space="preserve">NIP Guru</t>
  </si>
  <si>
    <t xml:space="preserve">196906252005012003</t>
  </si>
  <si>
    <t xml:space="preserve">Kepala Madrasah</t>
  </si>
  <si>
    <t xml:space="preserve">Rosih, S.Ag</t>
  </si>
  <si>
    <t xml:space="preserve">NIP Kepala Madrasah</t>
  </si>
  <si>
    <t xml:space="preserve">197010281994032001</t>
  </si>
  <si>
    <t xml:space="preserve">Tanggal Analisis</t>
  </si>
  <si>
    <t xml:space="preserve">Senin, 01 Desember 2025</t>
  </si>
  <si>
    <t xml:space="preserve">Ditulis bebas, mis. 15 Januari 2025</t>
  </si>
  <si>
    <t xml:space="preserve">B. PARAMETER ANALISIS</t>
  </si>
  <si>
    <t xml:space="preserve">KKM / KKTP</t>
  </si>
  <si>
    <t xml:space="preserve">Asumsi awal 75 - sesuaikan dengan KKM/KKTP madrasah</t>
  </si>
  <si>
    <t xml:space="preserve">Persentase kelompok atas &amp; bawah</t>
  </si>
  <si>
    <t xml:space="preserve">Kelley: 27% peserta tertinggi dan 27% terendah</t>
  </si>
  <si>
    <t xml:space="preserve">Taraf signifikansi (alpha) uji validitas</t>
  </si>
  <si>
    <t xml:space="preserve">r tabel dihitung dari distribusi t (dua arah), db = N - 2</t>
  </si>
  <si>
    <t xml:space="preserve">Soal SUKAR jika p &lt;=</t>
  </si>
  <si>
    <t xml:space="preserve">Mengacu Arikunto, Dasar-Dasar Evaluasi Pendidikan</t>
  </si>
  <si>
    <t xml:space="preserve">Soal MUDAH jika p &gt;</t>
  </si>
  <si>
    <t xml:space="preserve">Di antara kedua batas = SEDANG</t>
  </si>
  <si>
    <t xml:space="preserve">Daya pembeda JELEK jika D &lt;=</t>
  </si>
  <si>
    <t xml:space="preserve">D &lt; 0 = sangat jelek</t>
  </si>
  <si>
    <t xml:space="preserve">Daya pembeda CUKUP jika D &lt;=</t>
  </si>
  <si>
    <t xml:space="preserve">Daya pembeda BAIK jika D &lt;=</t>
  </si>
  <si>
    <t xml:space="preserve">Di atasnya = baik sekali</t>
  </si>
  <si>
    <t xml:space="preserve">Pengecoh berfungsi jika dipilih &gt;=</t>
  </si>
  <si>
    <t xml:space="preserve">Persentase dari seluruh peserta</t>
  </si>
  <si>
    <t xml:space="preserve">DATA JAWABAN SISWA</t>
  </si>
  <si>
    <t xml:space="preserve">DATA CONTOH (32 siswa fiktif) - hapus isi B6:AR55 lalu isi dengan data asli. Kosongkan sel jika siswa tidak menjawab.</t>
  </si>
  <si>
    <t xml:space="preserve">Nama Siswa</t>
  </si>
  <si>
    <t xml:space="preserve">NISN</t>
  </si>
  <si>
    <t xml:space="preserve">SISWA 01</t>
  </si>
  <si>
    <t xml:space="preserve">0123031</t>
  </si>
  <si>
    <t xml:space="preserve">SISWA 02</t>
  </si>
  <si>
    <t xml:space="preserve">0123030</t>
  </si>
  <si>
    <t xml:space="preserve">SISWA 03</t>
  </si>
  <si>
    <t xml:space="preserve">0123029</t>
  </si>
  <si>
    <t xml:space="preserve">SISWA 04</t>
  </si>
  <si>
    <t xml:space="preserve">0123028</t>
  </si>
  <si>
    <t xml:space="preserve">SISWA 05</t>
  </si>
  <si>
    <t xml:space="preserve">0123027</t>
  </si>
  <si>
    <t xml:space="preserve">SISWA 06</t>
  </si>
  <si>
    <t xml:space="preserve">0123026</t>
  </si>
  <si>
    <t xml:space="preserve">SISWA 07</t>
  </si>
  <si>
    <t xml:space="preserve">0123025</t>
  </si>
  <si>
    <t xml:space="preserve">SISWA 08</t>
  </si>
  <si>
    <t xml:space="preserve">0123024</t>
  </si>
  <si>
    <t xml:space="preserve">SISWA 09</t>
  </si>
  <si>
    <t xml:space="preserve">0123023</t>
  </si>
  <si>
    <t xml:space="preserve">SISWA 10</t>
  </si>
  <si>
    <t xml:space="preserve">0123022</t>
  </si>
  <si>
    <t xml:space="preserve">SISWA 11</t>
  </si>
  <si>
    <t xml:space="preserve">0123021</t>
  </si>
  <si>
    <t xml:space="preserve">SISWA 12</t>
  </si>
  <si>
    <t xml:space="preserve">0123020</t>
  </si>
  <si>
    <t xml:space="preserve">SISWA 13</t>
  </si>
  <si>
    <t xml:space="preserve">0123019</t>
  </si>
  <si>
    <t xml:space="preserve">SISWA 14</t>
  </si>
  <si>
    <t xml:space="preserve">0123018</t>
  </si>
  <si>
    <t xml:space="preserve">SISWA 15</t>
  </si>
  <si>
    <t xml:space="preserve">0123017</t>
  </si>
  <si>
    <t xml:space="preserve">SISWA 16</t>
  </si>
  <si>
    <t xml:space="preserve">0123016</t>
  </si>
  <si>
    <t xml:space="preserve">SISWA 17</t>
  </si>
  <si>
    <t xml:space="preserve">0123015</t>
  </si>
  <si>
    <t xml:space="preserve">SISWA 18</t>
  </si>
  <si>
    <t xml:space="preserve">0123014</t>
  </si>
  <si>
    <t xml:space="preserve">SISWA 19</t>
  </si>
  <si>
    <t xml:space="preserve">0123013</t>
  </si>
  <si>
    <t xml:space="preserve">SISWA 20</t>
  </si>
  <si>
    <t xml:space="preserve">0123012</t>
  </si>
  <si>
    <t xml:space="preserve">SISWA 21</t>
  </si>
  <si>
    <t xml:space="preserve">0123011</t>
  </si>
  <si>
    <t xml:space="preserve">SISWA 22</t>
  </si>
  <si>
    <t xml:space="preserve">0123010</t>
  </si>
  <si>
    <t xml:space="preserve">SISWA 23</t>
  </si>
  <si>
    <t xml:space="preserve">012309</t>
  </si>
  <si>
    <t xml:space="preserve">SISWA 24</t>
  </si>
  <si>
    <t xml:space="preserve">012308</t>
  </si>
  <si>
    <t xml:space="preserve">SISWA 25</t>
  </si>
  <si>
    <t xml:space="preserve">012307</t>
  </si>
  <si>
    <t xml:space="preserve">SISWA 26</t>
  </si>
  <si>
    <t xml:space="preserve">012306</t>
  </si>
  <si>
    <t xml:space="preserve">SISWA 28</t>
  </si>
  <si>
    <t xml:space="preserve">012304</t>
  </si>
  <si>
    <t xml:space="preserve">SISWA 29</t>
  </si>
  <si>
    <t xml:space="preserve">012303</t>
  </si>
  <si>
    <t xml:space="preserve">SISWA 30</t>
  </si>
  <si>
    <t xml:space="preserve">012302</t>
  </si>
  <si>
    <t xml:space="preserve">SISWA 31</t>
  </si>
  <si>
    <t xml:space="preserve">012301</t>
  </si>
  <si>
    <t xml:space="preserve">SISWA 32</t>
  </si>
  <si>
    <t xml:space="preserve">012300</t>
  </si>
  <si>
    <t xml:space="preserve">MATRIKS SKOR (1 = benar, 0 = salah)</t>
  </si>
  <si>
    <t xml:space="preserve">Kunci</t>
  </si>
  <si>
    <t xml:space="preserve">Skor</t>
  </si>
  <si>
    <t xml:space="preserve">Nilai</t>
  </si>
  <si>
    <t xml:space="preserve">Ketuntasan</t>
  </si>
  <si>
    <t xml:space="preserve">Kunci urut (bantu)</t>
  </si>
  <si>
    <t xml:space="preserve">Urutan unik</t>
  </si>
  <si>
    <t xml:space="preserve">Peringkat</t>
  </si>
  <si>
    <t xml:space="preserve">Kelompok</t>
  </si>
  <si>
    <t xml:space="preserve">DAFTAR NILAI SISWA</t>
  </si>
  <si>
    <t xml:space="preserve">Jumlah Benar</t>
  </si>
  <si>
    <t xml:space="preserve">Jumlah Salah</t>
  </si>
  <si>
    <t xml:space="preserve">Keterangan</t>
  </si>
  <si>
    <t xml:space="preserve">ANALISIS BUTIR SOAL</t>
  </si>
  <si>
    <t xml:space="preserve">Jml Benar (B)</t>
  </si>
  <si>
    <t xml:space="preserve">Jml Salah</t>
  </si>
  <si>
    <t xml:space="preserve">Tingkat Kesukaran (p)</t>
  </si>
  <si>
    <t xml:space="preserve">Kategori Kesukaran</t>
  </si>
  <si>
    <t xml:space="preserve">Benar Kel. Atas (BA)</t>
  </si>
  <si>
    <t xml:space="preserve">Benar Kel. Bawah (BB)</t>
  </si>
  <si>
    <t xml:space="preserve">Daya Pembeda (D)</t>
  </si>
  <si>
    <t xml:space="preserve">Kategori Daya Pembeda</t>
  </si>
  <si>
    <t xml:space="preserve">Rata-rata Skor Penjawab Benar (Mp)</t>
  </si>
  <si>
    <t xml:space="preserve">r hitung (r pbis)</t>
  </si>
  <si>
    <t xml:space="preserve">r tabel</t>
  </si>
  <si>
    <t xml:space="preserve">Validitas</t>
  </si>
  <si>
    <t xml:space="preserve">p x q</t>
  </si>
  <si>
    <t xml:space="preserve">Pengecoh Berfungsi (dari 3)</t>
  </si>
  <si>
    <t xml:space="preserve">Tindak Lanjut</t>
  </si>
  <si>
    <t xml:space="preserve">Materi / Indikator</t>
  </si>
  <si>
    <t xml:space="preserve">Bantu: Diterima</t>
  </si>
  <si>
    <t xml:space="preserve">Bantu: Direvisi</t>
  </si>
  <si>
    <t xml:space="preserve">Bantu: Diganti</t>
  </si>
  <si>
    <t xml:space="preserve">Rata-rata</t>
  </si>
  <si>
    <t xml:space="preserve">ANALISIS EFEKTIVITAS PENGECOH (DISTRAKTOR)</t>
  </si>
  <si>
    <t xml:space="preserve">Hijau = kunci jawaban; merah = pengecoh tidak berfungsi (dipilih kurang dari batas pada IDENTITAS).</t>
  </si>
  <si>
    <t xml:space="preserve">Jml A</t>
  </si>
  <si>
    <t xml:space="preserve">% A</t>
  </si>
  <si>
    <t xml:space="preserve">Atas A</t>
  </si>
  <si>
    <t xml:space="preserve">Bawah A</t>
  </si>
  <si>
    <t xml:space="preserve">Jml B</t>
  </si>
  <si>
    <t xml:space="preserve">% B</t>
  </si>
  <si>
    <t xml:space="preserve">Atas B</t>
  </si>
  <si>
    <t xml:space="preserve">Bawah B</t>
  </si>
  <si>
    <t xml:space="preserve">Jml C</t>
  </si>
  <si>
    <t xml:space="preserve">% C</t>
  </si>
  <si>
    <t xml:space="preserve">Atas C</t>
  </si>
  <si>
    <t xml:space="preserve">Bawah C</t>
  </si>
  <si>
    <t xml:space="preserve">Jml D</t>
  </si>
  <si>
    <t xml:space="preserve">% D</t>
  </si>
  <si>
    <t xml:space="preserve">Atas D</t>
  </si>
  <si>
    <t xml:space="preserve">Bawah D</t>
  </si>
  <si>
    <t xml:space="preserve">Tidak Menjawab</t>
  </si>
  <si>
    <t xml:space="preserve">Pengecoh Tidak Berfungsi</t>
  </si>
  <si>
    <t xml:space="preserve">REKAPITULASI ANALISIS BUTIR SOAL</t>
  </si>
  <si>
    <t xml:space="preserve">A. STATISTIK TES</t>
  </si>
  <si>
    <t xml:space="preserve">Jumlah peserta (N)</t>
  </si>
  <si>
    <t xml:space="preserve">Siswa yang namanya terisi di sheet JAWABAN</t>
  </si>
  <si>
    <t xml:space="preserve">Jumlah butir soal (k)</t>
  </si>
  <si>
    <t xml:space="preserve">Nomor yang kuncinya terisi</t>
  </si>
  <si>
    <t xml:space="preserve">Skor tertinggi</t>
  </si>
  <si>
    <t xml:space="preserve">Skor terendah</t>
  </si>
  <si>
    <t xml:space="preserve">Rata-rata skor</t>
  </si>
  <si>
    <t xml:space="preserve">Simpangan baku skor (SD)</t>
  </si>
  <si>
    <t xml:space="preserve">SD populasi</t>
  </si>
  <si>
    <t xml:space="preserve">Varians skor</t>
  </si>
  <si>
    <t xml:space="preserve">Rata-rata nilai (skala 0-100)</t>
  </si>
  <si>
    <t xml:space="preserve">Nilai = skor / jumlah butir x 100</t>
  </si>
  <si>
    <t xml:space="preserve">Jumlah siswa tuntas</t>
  </si>
  <si>
    <t xml:space="preserve">Nilai &gt;= KKM pada IDENTITAS</t>
  </si>
  <si>
    <t xml:space="preserve">Ketuntasan klasikal</t>
  </si>
  <si>
    <t xml:space="preserve">Jumlah siswa tiap kelompok atas/bawah (n)</t>
  </si>
  <si>
    <t xml:space="preserve">Persentase kelompok pada IDENTITAS</t>
  </si>
  <si>
    <t xml:space="preserve">Derajat bebas (N - 2)</t>
  </si>
  <si>
    <t xml:space="preserve">r tabel (taraf signifikansi pada IDENTITAS)</t>
  </si>
  <si>
    <t xml:space="preserve">Dihitung dari distribusi t, setara tabel r Product Moment</t>
  </si>
  <si>
    <t xml:space="preserve">Jumlah p x q</t>
  </si>
  <si>
    <t xml:space="preserve">Reliabilitas KR-20 (r11)</t>
  </si>
  <si>
    <t xml:space="preserve">k/(k-1) x (1 - Sum pq / Varians)</t>
  </si>
  <si>
    <t xml:space="preserve">Kategori reliabilitas</t>
  </si>
  <si>
    <t xml:space="preserve">&gt;=0,80 sangat tinggi; 0,60-0,79 tinggi; 0,40-0,59 cukup; 0,20-0,39 rendah; &lt;0,20 sangat rendah</t>
  </si>
  <si>
    <t xml:space="preserve">Reliabilitas KR-21</t>
  </si>
  <si>
    <t xml:space="preserve">Pembanding KR-20</t>
  </si>
  <si>
    <t xml:space="preserve">Standar Error Pengukuran (SEM)</t>
  </si>
  <si>
    <t xml:space="preserve">SD x akar(1 - r11)</t>
  </si>
  <si>
    <t xml:space="preserve">B. RINGKASAN HASIL ANALISIS BUTIR</t>
  </si>
  <si>
    <t xml:space="preserve">Kategori</t>
  </si>
  <si>
    <t xml:space="preserve">Jumlah Butir</t>
  </si>
  <si>
    <t xml:space="preserve">Persentase</t>
  </si>
  <si>
    <t xml:space="preserve">Nomor Soal</t>
  </si>
  <si>
    <t xml:space="preserve">Valid</t>
  </si>
  <si>
    <t xml:space="preserve">Tidak valid</t>
  </si>
  <si>
    <t xml:space="preserve">Tingkat Kesukaran</t>
  </si>
  <si>
    <t xml:space="preserve">Sukar</t>
  </si>
  <si>
    <t xml:space="preserve">Sedang</t>
  </si>
  <si>
    <t xml:space="preserve">Mudah</t>
  </si>
  <si>
    <t xml:space="preserve">Daya Pembeda</t>
  </si>
  <si>
    <t xml:space="preserve">Sangat jelek</t>
  </si>
  <si>
    <t xml:space="preserve">Jelek</t>
  </si>
  <si>
    <t xml:space="preserve">Cukup</t>
  </si>
  <si>
    <t xml:space="preserve">Baik</t>
  </si>
  <si>
    <t xml:space="preserve">Baik sekali</t>
  </si>
  <si>
    <t xml:space="preserve">Pengecoh</t>
  </si>
  <si>
    <t xml:space="preserve">Semua pengecoh berfungsi</t>
  </si>
  <si>
    <t xml:space="preserve">Ada pengecoh tidak berfungsi</t>
  </si>
  <si>
    <t xml:space="preserve">Diterima</t>
  </si>
  <si>
    <t xml:space="preserve">Direvisi</t>
  </si>
  <si>
    <t xml:space="preserve">Diganti/Dibuang</t>
  </si>
  <si>
    <t xml:space="preserve">C. KESIMPULAN OTOMATIS</t>
  </si>
  <si>
    <t xml:space="preserve">Mengetahui,</t>
  </si>
  <si>
    <t xml:space="preserve">Guru Mata Pelajaran,</t>
  </si>
  <si>
    <t xml:space="preserve">Kepala Madrasah,</t>
  </si>
  <si>
    <t xml:space="preserve">PROGRAM REMEDIAL DAN PENGAYAAN</t>
  </si>
  <si>
    <t xml:space="preserve">Kuning, huruf biru = isian yang boleh diubah. Selain itu terisi otomatis dari sheet NILAI, ANALISIS, dan KUNCI.</t>
  </si>
  <si>
    <t xml:space="preserve">A. DASAR PENETAPAN PROGRAM</t>
  </si>
  <si>
    <t xml:space="preserve">Jumlah peserta</t>
  </si>
  <si>
    <t xml:space="preserve">Dari sheet REKAP</t>
  </si>
  <si>
    <t xml:space="preserve">Dari sheet IDENTITAS</t>
  </si>
  <si>
    <t xml:space="preserve">Siswa tuntas (nilai &gt;= KKM): program pengayaan</t>
  </si>
  <si>
    <t xml:space="preserve">Siswa belum tuntas (nilai &lt; KKM): program remedial</t>
  </si>
  <si>
    <t xml:space="preserve">Harus sama dengan REKAP</t>
  </si>
  <si>
    <t xml:space="preserve">Rata-rata nilai kelompok remedial</t>
  </si>
  <si>
    <t xml:space="preserve">Rata-rata nilai kelompok pengayaan</t>
  </si>
  <si>
    <t xml:space="preserve">Remedial intensif (nilai &lt; batas di bawah)</t>
  </si>
  <si>
    <t xml:space="preserve">Remedial terbimbing (batas &lt;= nilai &lt; KKM)</t>
  </si>
  <si>
    <t xml:space="preserve">Pengayaan lanjut (tuntas dan kelompok atas)</t>
  </si>
  <si>
    <t xml:space="preserve">Pengayaan dasar (tuntas, kelompok tengah/bawah)</t>
  </si>
  <si>
    <t xml:space="preserve">Batas remedial intensif (nilai &lt;)</t>
  </si>
  <si>
    <t xml:space="preserve">ASUMSI awal 50 - sesuaikan dengan kebijakan madrasah</t>
  </si>
  <si>
    <t xml:space="preserve">Butir dibahas ulang bila % benar kelompok remedial &lt;</t>
  </si>
  <si>
    <t xml:space="preserve">ASUMSI awal 60% - sesuaikan</t>
  </si>
  <si>
    <t xml:space="preserve">Butir prioritas bahan remedial</t>
  </si>
  <si>
    <t xml:space="preserve">Butir bermasalah yang perlu ditinjau dulu</t>
  </si>
  <si>
    <t xml:space="preserve">Rekomendasi ANALISIS = Diganti/Dibuang</t>
  </si>
  <si>
    <t xml:space="preserve">B. RANCANGAN PROGRAM</t>
  </si>
  <si>
    <t xml:space="preserve">B1. PROGRAM REMEDIAL</t>
  </si>
  <si>
    <t xml:space="preserve">Sasaran</t>
  </si>
  <si>
    <t xml:space="preserve">Tujuan</t>
  </si>
  <si>
    <t xml:space="preserve">Membantu siswa mencapai ketuntasan pada butir/materi yang belum dikuasai.</t>
  </si>
  <si>
    <t xml:space="preserve">Butir prioritas</t>
  </si>
  <si>
    <t xml:space="preserve">Materi / indikator</t>
  </si>
  <si>
    <t xml:space="preserve">Butir perlu ditinjau</t>
  </si>
  <si>
    <t xml:space="preserve">Kegiatan</t>
  </si>
  <si>
    <t xml:space="preserve">Intensif: pembelajaran ulang dengan metode/media yang berbeda, latihan bertahap, dan bimbingan tutor sebaya. Terbimbing: pembahasan butir yang dijawab salah (lihat kolom "Butir salah" pada bagian C), latihan terfokus, dan penugasan.</t>
  </si>
  <si>
    <t xml:space="preserve">Waktu pelaksanaan</t>
  </si>
  <si>
    <t xml:space="preserve">[isi jadwal pelaksanaan remedial]</t>
  </si>
  <si>
    <t xml:space="preserve">Penilaian dan target</t>
  </si>
  <si>
    <t xml:space="preserve">B2. PROGRAM PENGAYAAN</t>
  </si>
  <si>
    <t xml:space="preserve">Memperdalam dan memperluas kompetensi siswa yang sudah tuntas.</t>
  </si>
  <si>
    <t xml:space="preserve">Lanjut: menjadi tutor sebaya bagi siswa remedial, mengerjakan soal penalaran/HOTS, dan proyek mini. Dasar: latihan pendalaman, tugas eksplorasi, dan proyek/latihan lanjutan sesuai materi.</t>
  </si>
  <si>
    <t xml:space="preserve">Materi</t>
  </si>
  <si>
    <t xml:space="preserve">Materi yang sama dikembangkan ke tingkat kognitif lebih tinggi. Sesuaikan dengan materi/indikator pada sheet KUNCI.</t>
  </si>
  <si>
    <t xml:space="preserve">[isi jadwal pelaksanaan pengayaan]</t>
  </si>
  <si>
    <t xml:space="preserve">Penilaian</t>
  </si>
  <si>
    <t xml:space="preserve">Penilaian berupa produk atau kinerja (portofolio, proyek, presentasi), dicatat terpisah dari nilai tes.</t>
  </si>
  <si>
    <t xml:space="preserve">C. DAFTAR SISWA PER PROGRAM</t>
  </si>
  <si>
    <t xml:space="preserve">Kolom bantu (abu-abu): nomor butir yang dijawab salah, dipakai kolom H.</t>
  </si>
  <si>
    <t xml:space="preserve">Selisih dari KKM</t>
  </si>
  <si>
    <t xml:space="preserve">Status</t>
  </si>
  <si>
    <t xml:space="preserve">Bentuk Program</t>
  </si>
  <si>
    <t xml:space="preserve">Butir Salah (nomor)</t>
  </si>
  <si>
    <t xml:space="preserve">Nilai Setelah Remedial</t>
  </si>
  <si>
    <t xml:space="preserve">Status Akhir</t>
  </si>
  <si>
    <t xml:space="preserve">D. PETA BUTIR UNTUK BAHAN REMEDIAL</t>
  </si>
  <si>
    <t xml:space="preserve">No Butir</t>
  </si>
  <si>
    <t xml:space="preserve">p Kelas</t>
  </si>
  <si>
    <t xml:space="preserve">% Benar Kel. Remedial</t>
  </si>
  <si>
    <t xml:space="preserve">% Benar Kel. Pengayaan</t>
  </si>
  <si>
    <t xml:space="preserve">Catatan Tindak Lanjut</t>
  </si>
  <si>
    <t xml:space="preserve">Rekomendasi Soal (ANALISIS)</t>
  </si>
  <si>
    <t xml:space="preserve">Siswa Remedial yang Salah</t>
  </si>
  <si>
    <t xml:space="preserve">Prioritas</t>
  </si>
  <si>
    <t xml:space="preserve">Bantu: prioritas</t>
  </si>
  <si>
    <t xml:space="preserve">Bantu: materi</t>
  </si>
  <si>
    <t xml:space="preserve">Bantu: ditinjau</t>
  </si>
</sst>
</file>

<file path=xl/styles.xml><?xml version="1.0" encoding="utf-8"?>
<styleSheet xmlns="http://schemas.openxmlformats.org/spreadsheetml/2006/main">
  <numFmts count="9">
    <numFmt numFmtId="164" formatCode="General"/>
    <numFmt numFmtId="165" formatCode="0"/>
    <numFmt numFmtId="166" formatCode="0%"/>
    <numFmt numFmtId="167" formatCode="0.00"/>
    <numFmt numFmtId="168" formatCode="0.00000"/>
    <numFmt numFmtId="169" formatCode="0.000"/>
    <numFmt numFmtId="170" formatCode="0.0%"/>
    <numFmt numFmtId="171" formatCode="General"/>
    <numFmt numFmtId="172" formatCode="0.00;\-0.00;0.00"/>
  </numFmts>
  <fonts count="26">
    <font>
      <sz val="11"/>
      <color theme="1"/>
      <name val="Calibri"/>
      <family val="2"/>
      <charset val="1"/>
    </font>
    <font>
      <sz val="10"/>
      <name val="Arial"/>
      <family val="0"/>
    </font>
    <font>
      <sz val="10"/>
      <name val="Arial"/>
      <family val="0"/>
    </font>
    <font>
      <sz val="10"/>
      <name val="Arial"/>
      <family val="0"/>
    </font>
    <font>
      <b val="true"/>
      <sz val="16"/>
      <color rgb="FF1F4E78"/>
      <name val="Arial"/>
      <family val="2"/>
      <charset val="1"/>
    </font>
    <font>
      <b val="true"/>
      <sz val="12"/>
      <color rgb="FF000000"/>
      <name val="Arial"/>
      <family val="2"/>
      <charset val="1"/>
    </font>
    <font>
      <b val="true"/>
      <sz val="10"/>
      <color rgb="FF000000"/>
      <name val="Arial"/>
      <family val="2"/>
      <charset val="1"/>
    </font>
    <font>
      <sz val="10"/>
      <color rgb="FF000000"/>
      <name val="Arial"/>
      <family val="2"/>
      <charset val="1"/>
    </font>
    <font>
      <sz val="10"/>
      <color rgb="FF0000FF"/>
      <name val="Arial"/>
      <family val="2"/>
      <charset val="1"/>
    </font>
    <font>
      <b val="true"/>
      <sz val="10"/>
      <color rgb="FFFFFFFF"/>
      <name val="Arial"/>
      <family val="2"/>
      <charset val="1"/>
    </font>
    <font>
      <b val="true"/>
      <sz val="14"/>
      <color rgb="FF1F4E78"/>
      <name val="Arial"/>
      <family val="2"/>
      <charset val="1"/>
    </font>
    <font>
      <b val="true"/>
      <sz val="11"/>
      <color rgb="FF000000"/>
      <name val="Arial"/>
      <family val="2"/>
      <charset val="1"/>
    </font>
    <font>
      <b val="true"/>
      <i val="true"/>
      <sz val="10"/>
      <color rgb="FFC00000"/>
      <name val="Arial"/>
      <family val="2"/>
      <charset val="1"/>
    </font>
    <font>
      <i val="true"/>
      <sz val="10"/>
      <color rgb="FF000000"/>
      <name val="Arial"/>
      <family val="2"/>
      <charset val="1"/>
    </font>
    <font>
      <i val="true"/>
      <sz val="10"/>
      <color rgb="FF595959"/>
      <name val="Arial"/>
      <family val="2"/>
      <charset val="1"/>
    </font>
    <font>
      <b val="true"/>
      <sz val="10"/>
      <color rgb="FF006100"/>
      <name val="Arial"/>
      <family val="2"/>
      <charset val="1"/>
    </font>
    <font>
      <i val="true"/>
      <sz val="10"/>
      <color rgb="FF808080"/>
      <name val="Arial"/>
      <family val="2"/>
      <charset val="1"/>
    </font>
    <font>
      <b val="true"/>
      <u val="single"/>
      <sz val="10"/>
      <color rgb="FF000000"/>
      <name val="Arial"/>
      <family val="2"/>
      <charset val="1"/>
    </font>
    <font>
      <b val="true"/>
      <sz val="18"/>
      <color rgb="FF000000"/>
      <name val="Calibri"/>
      <family val="2"/>
    </font>
    <font>
      <sz val="10"/>
      <color rgb="FF000000"/>
      <name val="Calibri"/>
      <family val="2"/>
    </font>
    <font>
      <b val="true"/>
      <sz val="10"/>
      <color rgb="FF000000"/>
      <name val="Calibri"/>
      <family val="2"/>
    </font>
    <font>
      <b val="true"/>
      <sz val="11"/>
      <name val="Arial"/>
      <family val="2"/>
      <charset val="1"/>
    </font>
    <font>
      <sz val="10"/>
      <name val="Arial"/>
      <family val="2"/>
      <charset val="1"/>
    </font>
    <font>
      <b val="true"/>
      <sz val="10"/>
      <name val="Arial"/>
      <family val="2"/>
      <charset val="1"/>
    </font>
    <font>
      <b val="true"/>
      <sz val="10"/>
      <color rgb="FF595959"/>
      <name val="Arial"/>
      <family val="2"/>
      <charset val="1"/>
    </font>
    <font>
      <sz val="10"/>
      <color rgb="FF595959"/>
      <name val="Arial"/>
      <family val="2"/>
      <charset val="1"/>
    </font>
  </fonts>
  <fills count="7">
    <fill>
      <patternFill patternType="none"/>
    </fill>
    <fill>
      <patternFill patternType="gray125"/>
    </fill>
    <fill>
      <patternFill patternType="solid">
        <fgColor rgb="FFDDEBF7"/>
        <bgColor rgb="FFE2EFDA"/>
      </patternFill>
    </fill>
    <fill>
      <patternFill patternType="solid">
        <fgColor rgb="FFFFF2CC"/>
        <bgColor rgb="FFFCE4D6"/>
      </patternFill>
    </fill>
    <fill>
      <patternFill patternType="solid">
        <fgColor rgb="FF1F4E78"/>
        <bgColor rgb="FF003366"/>
      </patternFill>
    </fill>
    <fill>
      <patternFill patternType="solid">
        <fgColor rgb="FFD9D9D9"/>
        <bgColor rgb="FFDDEBF7"/>
      </patternFill>
    </fill>
    <fill>
      <patternFill patternType="solid">
        <fgColor rgb="FFF2F2F2"/>
        <bgColor rgb="FFE2EFDA"/>
      </patternFill>
    </fill>
  </fills>
  <borders count="4">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style="thin">
        <color rgb="FF999999"/>
      </left>
      <right/>
      <top style="thin">
        <color rgb="FF999999"/>
      </top>
      <bottom style="thin">
        <color rgb="FF999999"/>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right"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left" vertical="bottom" textRotation="0" wrapText="false" indent="0" shrinkToFit="false"/>
      <protection locked="true" hidden="false"/>
    </xf>
    <xf numFmtId="166" fontId="8" fillId="3" borderId="1" xfId="0" applyFont="true" applyBorder="true" applyAlignment="true" applyProtection="false">
      <alignment horizontal="left" vertical="bottom" textRotation="0" wrapText="false" indent="0" shrinkToFit="false"/>
      <protection locked="true" hidden="false"/>
    </xf>
    <xf numFmtId="167" fontId="8" fillId="3" borderId="1"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8" fontId="16" fillId="0" borderId="1" xfId="0" applyFont="true" applyBorder="true" applyAlignment="true" applyProtection="false">
      <alignment horizontal="center" vertical="center" textRotation="0" wrapText="false" indent="0" shrinkToFit="false"/>
      <protection locked="true" hidden="false"/>
    </xf>
    <xf numFmtId="165" fontId="16" fillId="0"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7" fontId="6" fillId="2" borderId="1" xfId="0" applyFont="true" applyBorder="true" applyAlignment="true" applyProtection="false">
      <alignment horizontal="center"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xf numFmtId="171" fontId="7"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70" fontId="6" fillId="0" borderId="1" xfId="0" applyFont="true" applyBorder="true" applyAlignment="true" applyProtection="false">
      <alignment horizontal="center" vertical="center" textRotation="0" wrapText="false" indent="0" shrinkToFit="false"/>
      <protection locked="true" hidden="false"/>
    </xf>
    <xf numFmtId="169"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2" borderId="3" xfId="0" applyFont="true" applyBorder="true" applyAlignment="false" applyProtection="false">
      <alignment horizontal="general" vertical="bottom" textRotation="0" wrapText="false" indent="0" shrinkToFit="false"/>
      <protection locked="true" hidden="false"/>
    </xf>
    <xf numFmtId="164" fontId="22" fillId="0" borderId="3" xfId="0" applyFont="true" applyBorder="true" applyAlignment="true" applyProtection="false">
      <alignment horizontal="left" vertical="center" textRotation="0" wrapText="true" indent="0" shrinkToFit="false"/>
      <protection locked="true" hidden="false"/>
    </xf>
    <xf numFmtId="165" fontId="22" fillId="0" borderId="3" xfId="0" applyFont="true" applyBorder="true" applyAlignment="true" applyProtection="false">
      <alignment horizontal="center" vertical="center" textRotation="0" wrapText="false" indent="0" shrinkToFit="false"/>
      <protection locked="true" hidden="false"/>
    </xf>
    <xf numFmtId="170" fontId="22" fillId="0" borderId="3" xfId="0" applyFont="true" applyBorder="true" applyAlignment="true" applyProtection="false">
      <alignment horizontal="center" vertical="center" textRotation="0" wrapText="false" indent="0" shrinkToFit="false"/>
      <protection locked="true" hidden="false"/>
    </xf>
    <xf numFmtId="167" fontId="22" fillId="0" borderId="3" xfId="0" applyFont="true" applyBorder="true" applyAlignment="true" applyProtection="false">
      <alignment horizontal="center" vertical="center" textRotation="0" wrapText="false" indent="0" shrinkToFit="false"/>
      <protection locked="true" hidden="false"/>
    </xf>
    <xf numFmtId="165" fontId="8" fillId="3" borderId="3" xfId="0" applyFont="true" applyBorder="true" applyAlignment="true" applyProtection="false">
      <alignment horizontal="center" vertical="center" textRotation="0" wrapText="false" indent="0" shrinkToFit="false"/>
      <protection locked="true" hidden="false"/>
    </xf>
    <xf numFmtId="166" fontId="8" fillId="3" borderId="3" xfId="0" applyFont="true" applyBorder="true" applyAlignment="true" applyProtection="false">
      <alignment horizontal="center" vertical="center" textRotation="0" wrapText="false" indent="0" shrinkToFit="false"/>
      <protection locked="true" hidden="false"/>
    </xf>
    <xf numFmtId="164" fontId="9" fillId="4" borderId="3" xfId="0" applyFont="true" applyBorder="true" applyAlignment="false" applyProtection="false">
      <alignment horizontal="general" vertical="bottom" textRotation="0" wrapText="false" indent="0" shrinkToFit="false"/>
      <protection locked="true" hidden="false"/>
    </xf>
    <xf numFmtId="164" fontId="23" fillId="0" borderId="3" xfId="0" applyFont="true" applyBorder="true" applyAlignment="true" applyProtection="false">
      <alignment horizontal="left" vertical="top" textRotation="0" wrapText="true" indent="0" shrinkToFit="false"/>
      <protection locked="true" hidden="false"/>
    </xf>
    <xf numFmtId="164" fontId="22" fillId="0" borderId="3" xfId="0" applyFont="true" applyBorder="true" applyAlignment="true" applyProtection="false">
      <alignment horizontal="left" vertical="top" textRotation="0" wrapText="true" indent="0" shrinkToFit="false"/>
      <protection locked="true" hidden="false"/>
    </xf>
    <xf numFmtId="164" fontId="8" fillId="3" borderId="3" xfId="0" applyFont="true" applyBorder="true" applyAlignment="true" applyProtection="false">
      <alignment horizontal="left" vertical="top" textRotation="0" wrapText="true" indent="0" shrinkToFit="false"/>
      <protection locked="true" hidden="false"/>
    </xf>
    <xf numFmtId="164" fontId="9" fillId="4" borderId="3" xfId="0" applyFont="true" applyBorder="true" applyAlignment="true" applyProtection="false">
      <alignment horizontal="center" vertical="center" textRotation="0" wrapText="true" indent="0" shrinkToFit="false"/>
      <protection locked="true" hidden="false"/>
    </xf>
    <xf numFmtId="171" fontId="24" fillId="5" borderId="3" xfId="0" applyFont="true" applyBorder="true" applyAlignment="true" applyProtection="false">
      <alignment horizontal="center" vertical="center" textRotation="0" wrapText="true" indent="0" shrinkToFit="false"/>
      <protection locked="true" hidden="false"/>
    </xf>
    <xf numFmtId="171" fontId="22" fillId="0" borderId="3" xfId="0" applyFont="true" applyBorder="true" applyAlignment="true" applyProtection="false">
      <alignment horizontal="center" vertical="center" textRotation="0" wrapText="false" indent="0" shrinkToFit="false"/>
      <protection locked="true" hidden="false"/>
    </xf>
    <xf numFmtId="164" fontId="22" fillId="0" borderId="3" xfId="0" applyFont="true" applyBorder="true" applyAlignment="true" applyProtection="false">
      <alignment horizontal="general" vertical="center" textRotation="0" wrapText="true" indent="0" shrinkToFit="false"/>
      <protection locked="true" hidden="false"/>
    </xf>
    <xf numFmtId="172" fontId="22" fillId="0" borderId="3" xfId="0" applyFont="true" applyBorder="true" applyAlignment="true" applyProtection="false">
      <alignment horizontal="center" vertical="center" textRotation="0" wrapText="false" indent="0" shrinkToFit="false"/>
      <protection locked="true" hidden="false"/>
    </xf>
    <xf numFmtId="164" fontId="22" fillId="0" borderId="3" xfId="0" applyFont="true" applyBorder="true" applyAlignment="true" applyProtection="false">
      <alignment horizontal="center" vertical="center" textRotation="0" wrapText="false" indent="0" shrinkToFit="false"/>
      <protection locked="true" hidden="false"/>
    </xf>
    <xf numFmtId="167" fontId="8" fillId="3" borderId="3" xfId="0" applyFont="true" applyBorder="true" applyAlignment="true" applyProtection="false">
      <alignment horizontal="center" vertical="center" textRotation="0" wrapText="false" indent="0" shrinkToFit="false"/>
      <protection locked="true" hidden="false"/>
    </xf>
    <xf numFmtId="164" fontId="25" fillId="6" borderId="0" xfId="0" applyFont="true" applyBorder="false" applyAlignment="true" applyProtection="false">
      <alignment horizontal="center" vertical="bottom" textRotation="0" wrapText="false" indent="0" shrinkToFit="false"/>
      <protection locked="true" hidden="false"/>
    </xf>
    <xf numFmtId="164" fontId="22" fillId="0" borderId="3" xfId="0" applyFont="true" applyBorder="true" applyAlignment="true" applyProtection="false">
      <alignment horizontal="center" vertical="center" textRotation="0" wrapText="true" indent="0" shrinkToFit="false"/>
      <protection locked="true" hidden="false"/>
    </xf>
    <xf numFmtId="164" fontId="25" fillId="6"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bgColor rgb="FFC6EFCE"/>
        </patternFill>
      </fill>
    </dxf>
    <dxf>
      <fill>
        <patternFill>
          <bgColor rgb="FFFFC7CE"/>
        </patternFill>
      </fill>
    </dxf>
    <dxf>
      <fill>
        <patternFill>
          <bgColor rgb="FFFFEB9C"/>
        </patternFill>
      </fill>
    </dxf>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00FF"/>
          <bgColor rgb="FF000000"/>
        </patternFill>
      </fill>
    </dxf>
    <dxf>
      <fill>
        <patternFill>
          <bgColor rgb="FFFCE4D6"/>
        </patternFill>
      </fill>
    </dxf>
    <dxf>
      <fill>
        <patternFill>
          <bgColor rgb="FFE2EFDA"/>
        </patternFill>
      </fill>
    </dxf>
    <dxf>
      <fill>
        <patternFill>
          <bgColor rgb="FFFFE699"/>
        </patternFill>
      </fill>
    </dxf>
  </dxfs>
  <colors>
    <indexedColors>
      <rgbColor rgb="FF000000"/>
      <rgbColor rgb="FFFFFFFF"/>
      <rgbColor rgb="FFC00000"/>
      <rgbColor rgb="FF00FF00"/>
      <rgbColor rgb="FF0000FF"/>
      <rgbColor rgb="FFFFE699"/>
      <rgbColor rgb="FFFF00FF"/>
      <rgbColor rgb="FF00FFFF"/>
      <rgbColor rgb="FF800000"/>
      <rgbColor rgb="FF006100"/>
      <rgbColor rgb="FF000080"/>
      <rgbColor rgb="FF7F7F7F"/>
      <rgbColor rgb="FF800080"/>
      <rgbColor rgb="FF008080"/>
      <rgbColor rgb="FFFCE4D6"/>
      <rgbColor rgb="FF808080"/>
      <rgbColor rgb="FF878787"/>
      <rgbColor rgb="FFC0504D"/>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FEB9C"/>
      <rgbColor rgb="FFF2F2F2"/>
      <rgbColor rgb="FFFF99CC"/>
      <rgbColor rgb="FFCC99FF"/>
      <rgbColor rgb="FFFFC7CE"/>
      <rgbColor rgb="FF2E75B6"/>
      <rgbColor rgb="FF70AD47"/>
      <rgbColor rgb="FF9BBB59"/>
      <rgbColor rgb="FFFFC000"/>
      <rgbColor rgb="FFFF9900"/>
      <rgbColor rgb="FFED7D31"/>
      <rgbColor rgb="FF595959"/>
      <rgbColor rgb="FF999999"/>
      <rgbColor rgb="FF003366"/>
      <rgbColor rgb="FF4F81BD"/>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Tingkat Kesukaran per Butir (p)</a:t>
            </a:r>
          </a:p>
        </c:rich>
      </c:tx>
      <c:overlay val="0"/>
      <c:spPr>
        <a:noFill/>
        <a:ln w="0">
          <a:noFill/>
        </a:ln>
      </c:spPr>
    </c:title>
    <c:autoTitleDeleted val="0"/>
    <c:plotArea>
      <c:barChart>
        <c:barDir val="col"/>
        <c:grouping val="clustered"/>
        <c:varyColors val="0"/>
        <c:ser>
          <c:idx val="0"/>
          <c:order val="0"/>
          <c:tx>
            <c:strRef>
              <c:f>ANALISIS!$E$5</c:f>
              <c:strCache>
                <c:ptCount val="1"/>
                <c:pt idx="0">
                  <c:v>Tingkat Kesukaran (p)</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ANALISIS!$A$6:$A$45</c:f>
              <c:strCache>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strCache>
            </c:strRef>
          </c:cat>
          <c:val>
            <c:numRef>
              <c:f>ANALISIS!$E$6:$E$45</c:f>
              <c:numCache>
                <c:formatCode>0.00</c:formatCode>
                <c:ptCount val="40"/>
                <c:pt idx="0">
                  <c:v>0.548387096774194</c:v>
                </c:pt>
                <c:pt idx="1">
                  <c:v>0.67741935483871</c:v>
                </c:pt>
                <c:pt idx="2">
                  <c:v>0.580645161290323</c:v>
                </c:pt>
                <c:pt idx="3">
                  <c:v>0.709677419354839</c:v>
                </c:pt>
                <c:pt idx="4">
                  <c:v>0.548387096774194</c:v>
                </c:pt>
                <c:pt idx="5">
                  <c:v>0.516129032258065</c:v>
                </c:pt>
                <c:pt idx="6">
                  <c:v>0.580645161290323</c:v>
                </c:pt>
                <c:pt idx="7">
                  <c:v>0.838709677419355</c:v>
                </c:pt>
                <c:pt idx="8">
                  <c:v>0.451612903225806</c:v>
                </c:pt>
                <c:pt idx="9">
                  <c:v>0.483870967741936</c:v>
                </c:pt>
                <c:pt idx="10">
                  <c:v>0.645161290322581</c:v>
                </c:pt>
                <c:pt idx="11">
                  <c:v>0.580645161290323</c:v>
                </c:pt>
                <c:pt idx="12">
                  <c:v>0.67741935483871</c:v>
                </c:pt>
                <c:pt idx="13">
                  <c:v>0.580645161290323</c:v>
                </c:pt>
                <c:pt idx="14">
                  <c:v>0.516129032258065</c:v>
                </c:pt>
                <c:pt idx="15">
                  <c:v>0.548387096774194</c:v>
                </c:pt>
                <c:pt idx="16">
                  <c:v>0.451612903225806</c:v>
                </c:pt>
                <c:pt idx="17">
                  <c:v>0.483870967741936</c:v>
                </c:pt>
                <c:pt idx="18">
                  <c:v>0.580645161290323</c:v>
                </c:pt>
                <c:pt idx="19">
                  <c:v>0.709677419354839</c:v>
                </c:pt>
                <c:pt idx="20">
                  <c:v>0.580645161290323</c:v>
                </c:pt>
                <c:pt idx="21">
                  <c:v>0.645161290322581</c:v>
                </c:pt>
                <c:pt idx="22">
                  <c:v>0.709677419354839</c:v>
                </c:pt>
                <c:pt idx="23">
                  <c:v>0.67741935483871</c:v>
                </c:pt>
                <c:pt idx="24">
                  <c:v>0.612903225806452</c:v>
                </c:pt>
                <c:pt idx="25">
                  <c:v>0.580645161290323</c:v>
                </c:pt>
                <c:pt idx="26">
                  <c:v>0.580645161290323</c:v>
                </c:pt>
                <c:pt idx="27">
                  <c:v>0.419354838709677</c:v>
                </c:pt>
                <c:pt idx="28">
                  <c:v>0.548387096774194</c:v>
                </c:pt>
                <c:pt idx="29">
                  <c:v>0.645161290322581</c:v>
                </c:pt>
                <c:pt idx="30">
                  <c:v>0.645161290322581</c:v>
                </c:pt>
                <c:pt idx="31">
                  <c:v>0.67741935483871</c:v>
                </c:pt>
                <c:pt idx="32">
                  <c:v>0.580645161290323</c:v>
                </c:pt>
                <c:pt idx="33">
                  <c:v>0.645161290322581</c:v>
                </c:pt>
                <c:pt idx="34">
                  <c:v>0.645161290322581</c:v>
                </c:pt>
                <c:pt idx="35">
                  <c:v>0.612903225806452</c:v>
                </c:pt>
                <c:pt idx="36">
                  <c:v>0.516129032258065</c:v>
                </c:pt>
                <c:pt idx="37">
                  <c:v>0.612903225806452</c:v>
                </c:pt>
                <c:pt idx="38">
                  <c:v>0.548387096774194</c:v>
                </c:pt>
                <c:pt idx="39">
                  <c:v>0.709677419354839</c:v>
                </c:pt>
              </c:numCache>
            </c:numRef>
          </c:val>
        </c:ser>
        <c:gapWidth val="150"/>
        <c:overlap val="0"/>
        <c:axId val="63125710"/>
        <c:axId val="87149221"/>
      </c:barChart>
      <c:catAx>
        <c:axId val="63125710"/>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Nomor soal</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149221"/>
        <c:crosses val="autoZero"/>
        <c:auto val="1"/>
        <c:lblAlgn val="ctr"/>
        <c:lblOffset val="100"/>
        <c:noMultiLvlLbl val="0"/>
      </c:catAx>
      <c:valAx>
        <c:axId val="87149221"/>
        <c:scaling>
          <c:orientation val="minMax"/>
          <c:max val="1"/>
          <c:min val="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p</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12571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Daya Pembeda per Butir (D)</a:t>
            </a:r>
          </a:p>
        </c:rich>
      </c:tx>
      <c:overlay val="0"/>
      <c:spPr>
        <a:noFill/>
        <a:ln w="0">
          <a:noFill/>
        </a:ln>
      </c:spPr>
    </c:title>
    <c:autoTitleDeleted val="0"/>
    <c:plotArea>
      <c:barChart>
        <c:barDir val="col"/>
        <c:grouping val="clustered"/>
        <c:varyColors val="0"/>
        <c:ser>
          <c:idx val="0"/>
          <c:order val="0"/>
          <c:tx>
            <c:strRef>
              <c:f>ANALISIS!$I$5</c:f>
              <c:strCache>
                <c:ptCount val="1"/>
                <c:pt idx="0">
                  <c:v>Daya Pembeda (D)</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ANALISIS!$A$6:$A$45</c:f>
              <c:strCache>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strCache>
            </c:strRef>
          </c:cat>
          <c:val>
            <c:numRef>
              <c:f>ANALISIS!$I$6:$I$45</c:f>
              <c:numCache>
                <c:formatCode>0.00</c:formatCode>
                <c:ptCount val="40"/>
                <c:pt idx="0">
                  <c:v>0</c:v>
                </c:pt>
                <c:pt idx="1">
                  <c:v>0.375</c:v>
                </c:pt>
                <c:pt idx="2">
                  <c:v>0</c:v>
                </c:pt>
                <c:pt idx="3">
                  <c:v>0.5</c:v>
                </c:pt>
                <c:pt idx="4">
                  <c:v>0.25</c:v>
                </c:pt>
                <c:pt idx="5">
                  <c:v>0.75</c:v>
                </c:pt>
                <c:pt idx="6">
                  <c:v>0.5</c:v>
                </c:pt>
                <c:pt idx="7">
                  <c:v>0.375</c:v>
                </c:pt>
                <c:pt idx="8">
                  <c:v>0.25</c:v>
                </c:pt>
                <c:pt idx="9">
                  <c:v>0.5</c:v>
                </c:pt>
                <c:pt idx="10">
                  <c:v>0.625</c:v>
                </c:pt>
                <c:pt idx="11">
                  <c:v>0.5</c:v>
                </c:pt>
                <c:pt idx="12">
                  <c:v>-0.125</c:v>
                </c:pt>
                <c:pt idx="13">
                  <c:v>0.375</c:v>
                </c:pt>
                <c:pt idx="14">
                  <c:v>0.875</c:v>
                </c:pt>
                <c:pt idx="15">
                  <c:v>0.5</c:v>
                </c:pt>
                <c:pt idx="16">
                  <c:v>0</c:v>
                </c:pt>
                <c:pt idx="17">
                  <c:v>0.5</c:v>
                </c:pt>
                <c:pt idx="18">
                  <c:v>0.125</c:v>
                </c:pt>
                <c:pt idx="19">
                  <c:v>0.5</c:v>
                </c:pt>
                <c:pt idx="20">
                  <c:v>0.5</c:v>
                </c:pt>
                <c:pt idx="21">
                  <c:v>0.25</c:v>
                </c:pt>
                <c:pt idx="22">
                  <c:v>0.125</c:v>
                </c:pt>
                <c:pt idx="23">
                  <c:v>0.625</c:v>
                </c:pt>
                <c:pt idx="24">
                  <c:v>0</c:v>
                </c:pt>
                <c:pt idx="25">
                  <c:v>0.375</c:v>
                </c:pt>
                <c:pt idx="26">
                  <c:v>0.5</c:v>
                </c:pt>
                <c:pt idx="27">
                  <c:v>0.5</c:v>
                </c:pt>
                <c:pt idx="28">
                  <c:v>0.625</c:v>
                </c:pt>
                <c:pt idx="29">
                  <c:v>0.375</c:v>
                </c:pt>
                <c:pt idx="30">
                  <c:v>0.125</c:v>
                </c:pt>
                <c:pt idx="31">
                  <c:v>0.25</c:v>
                </c:pt>
                <c:pt idx="32">
                  <c:v>0.25</c:v>
                </c:pt>
                <c:pt idx="33">
                  <c:v>0.5</c:v>
                </c:pt>
                <c:pt idx="34">
                  <c:v>0.625</c:v>
                </c:pt>
                <c:pt idx="35">
                  <c:v>0.375</c:v>
                </c:pt>
                <c:pt idx="36">
                  <c:v>0.5</c:v>
                </c:pt>
                <c:pt idx="37">
                  <c:v>0.375</c:v>
                </c:pt>
                <c:pt idx="38">
                  <c:v>0</c:v>
                </c:pt>
                <c:pt idx="39">
                  <c:v>0.5</c:v>
                </c:pt>
              </c:numCache>
            </c:numRef>
          </c:val>
        </c:ser>
        <c:gapWidth val="150"/>
        <c:overlap val="0"/>
        <c:axId val="19178821"/>
        <c:axId val="15177563"/>
      </c:barChart>
      <c:catAx>
        <c:axId val="19178821"/>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Nomor soal</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177563"/>
        <c:crosses val="autoZero"/>
        <c:auto val="1"/>
        <c:lblAlgn val="ctr"/>
        <c:lblOffset val="100"/>
        <c:noMultiLvlLbl val="0"/>
      </c:catAx>
      <c:valAx>
        <c:axId val="15177563"/>
        <c:scaling>
          <c:orientation val="minMax"/>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D</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17882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Rekomendasi Butir Soal</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numFmt formatCode="General" sourceLinked="1"/>
            <c:dLbl>
              <c:idx val="0"/>
              <c:numFmt formatCode="General" sourceLinked="1"/>
              <c:txPr>
                <a:bodyPr wrap="square"/>
                <a:lstStyle/>
                <a:p>
                  <a:pPr>
                    <a:defRPr b="0" sz="1000" spc="-1" strike="noStrike">
                      <a:solidFill>
                        <a:srgbClr val="000000"/>
                      </a:solidFill>
                      <a:latin typeface="Calibri"/>
                    </a:defRPr>
                  </a:pPr>
                </a:p>
              </c:txPr>
              <c:dLblPos val="bestFit"/>
              <c:showLegendKey val="1"/>
              <c:showVal val="1"/>
              <c:showCatName val="0"/>
              <c:showSerName val="0"/>
              <c:showPercent val="0"/>
              <c:separator>; </c:separator>
            </c:dLbl>
            <c:dLbl>
              <c:idx val="1"/>
              <c:numFmt formatCode="General" sourceLinked="1"/>
              <c:txPr>
                <a:bodyPr wrap="square"/>
                <a:lstStyle/>
                <a:p>
                  <a:pPr>
                    <a:defRPr b="0" sz="1000" spc="-1" strike="noStrike">
                      <a:solidFill>
                        <a:srgbClr val="000000"/>
                      </a:solidFill>
                      <a:latin typeface="Calibri"/>
                    </a:defRPr>
                  </a:pPr>
                </a:p>
              </c:txPr>
              <c:dLblPos val="bestFit"/>
              <c:showLegendKey val="1"/>
              <c:showVal val="1"/>
              <c:showCatName val="0"/>
              <c:showSerName val="0"/>
              <c:showPercent val="0"/>
              <c:separator>; </c:separator>
            </c:dLbl>
            <c:dLbl>
              <c:idx val="2"/>
              <c:numFmt formatCode="General" sourceLinked="1"/>
              <c:txPr>
                <a:bodyPr wrap="square"/>
                <a:lstStyle/>
                <a:p>
                  <a:pPr>
                    <a:defRPr b="0" sz="1000" spc="-1" strike="noStrike">
                      <a:solidFill>
                        <a:srgbClr val="000000"/>
                      </a:solidFill>
                      <a:latin typeface="Calibri"/>
                    </a:defRPr>
                  </a:pPr>
                </a:p>
              </c:txPr>
              <c:dLblPos val="bestFit"/>
              <c:showLegendKey val="1"/>
              <c:showVal val="1"/>
              <c:showCatName val="0"/>
              <c:showSerName val="0"/>
              <c:showPercent val="0"/>
              <c:separator>; </c:separator>
            </c:dLbl>
            <c:txPr>
              <a:bodyPr wrap="square"/>
              <a:lstStyle/>
              <a:p>
                <a:pPr>
                  <a:defRPr b="0" sz="1000" spc="-1" strike="noStrike">
                    <a:solidFill>
                      <a:srgbClr val="000000"/>
                    </a:solidFill>
                    <a:latin typeface="Calibri"/>
                  </a:defRPr>
                </a:pPr>
              </a:p>
            </c:txPr>
            <c:dLblPos val="bestFit"/>
            <c:showLegendKey val="1"/>
            <c:showVal val="1"/>
            <c:showCatName val="0"/>
            <c:showSerName val="0"/>
            <c:showPercent val="0"/>
            <c:separator>; </c:separator>
            <c:showLeaderLines val="0"/>
          </c:dLbls>
          <c:cat>
            <c:strRef>
              <c:f>REKAP!$B$39:$B$41</c:f>
              <c:strCache>
                <c:ptCount val="3"/>
                <c:pt idx="0">
                  <c:v>Diterima</c:v>
                </c:pt>
                <c:pt idx="1">
                  <c:v>Direvisi</c:v>
                </c:pt>
                <c:pt idx="2">
                  <c:v>Diganti/Dibuang</c:v>
                </c:pt>
              </c:strCache>
            </c:strRef>
          </c:cat>
          <c:val>
            <c:numRef>
              <c:f>REKAP!$C$39:$C$41</c:f>
              <c:numCache>
                <c:formatCode>General</c:formatCode>
                <c:ptCount val="3"/>
                <c:pt idx="0">
                  <c:v>15</c:v>
                </c:pt>
                <c:pt idx="1">
                  <c:v>13</c:v>
                </c:pt>
                <c:pt idx="2">
                  <c:v>12</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160920</xdr:rowOff>
    </xdr:from>
    <xdr:to>
      <xdr:col>17</xdr:col>
      <xdr:colOff>472320</xdr:colOff>
      <xdr:row>18</xdr:row>
      <xdr:rowOff>2160</xdr:rowOff>
    </xdr:to>
    <xdr:graphicFrame>
      <xdr:nvGraphicFramePr>
        <xdr:cNvPr id="0" name="Chart 1"/>
        <xdr:cNvGraphicFramePr/>
      </xdr:nvGraphicFramePr>
      <xdr:xfrm>
        <a:off x="12366720" y="761040"/>
        <a:ext cx="7164000" cy="2689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160560</xdr:rowOff>
    </xdr:from>
    <xdr:to>
      <xdr:col>17</xdr:col>
      <xdr:colOff>472320</xdr:colOff>
      <xdr:row>34</xdr:row>
      <xdr:rowOff>1800</xdr:rowOff>
    </xdr:to>
    <xdr:graphicFrame>
      <xdr:nvGraphicFramePr>
        <xdr:cNvPr id="1" name="Chart 2"/>
        <xdr:cNvGraphicFramePr/>
      </xdr:nvGraphicFramePr>
      <xdr:xfrm>
        <a:off x="12366720" y="3799080"/>
        <a:ext cx="7164000" cy="2689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160560</xdr:rowOff>
    </xdr:from>
    <xdr:to>
      <xdr:col>13</xdr:col>
      <xdr:colOff>38160</xdr:colOff>
      <xdr:row>50</xdr:row>
      <xdr:rowOff>2160</xdr:rowOff>
    </xdr:to>
    <xdr:graphicFrame>
      <xdr:nvGraphicFramePr>
        <xdr:cNvPr id="2" name="Chart 3"/>
        <xdr:cNvGraphicFramePr/>
      </xdr:nvGraphicFramePr>
      <xdr:xfrm>
        <a:off x="12366720" y="6837480"/>
        <a:ext cx="4296240" cy="2670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22"/>
    <col collapsed="false" customWidth="true" hidden="false" outlineLevel="0" max="3" min="2" style="0" width="62"/>
  </cols>
  <sheetData>
    <row r="1" customFormat="false" ht="19.5" hidden="false" customHeight="true" outlineLevel="0" collapsed="false">
      <c r="A1" s="1" t="s">
        <v>0</v>
      </c>
    </row>
    <row r="2" customFormat="false" ht="15" hidden="false" customHeight="true" outlineLevel="0" collapsed="false">
      <c r="A2" s="2" t="str">
        <f aca="false">UPPER(NAMA_MADRASAH)&amp;" | TAHUN PELAJARAN "&amp;TAHUN_AJAR</f>
        <v>MTSN 3 SUBANG | TAHUN PELAJARAN 2025-2026</v>
      </c>
    </row>
    <row r="4" customFormat="false" ht="15" hidden="false" customHeight="true" outlineLevel="0" collapsed="false">
      <c r="A4" s="3" t="s">
        <v>1</v>
      </c>
      <c r="B4" s="3"/>
      <c r="C4" s="3"/>
    </row>
    <row r="5" customFormat="false" ht="27.75" hidden="false" customHeight="true" outlineLevel="0" collapsed="false">
      <c r="A5" s="4" t="s">
        <v>2</v>
      </c>
      <c r="B5" s="5" t="s">
        <v>3</v>
      </c>
      <c r="C5" s="5"/>
    </row>
    <row r="6" customFormat="false" ht="27.75" hidden="false" customHeight="true" outlineLevel="0" collapsed="false">
      <c r="A6" s="4" t="s">
        <v>4</v>
      </c>
      <c r="B6" s="5" t="s">
        <v>5</v>
      </c>
      <c r="C6" s="5"/>
    </row>
    <row r="7" customFormat="false" ht="27.75" hidden="false" customHeight="true" outlineLevel="0" collapsed="false">
      <c r="A7" s="4" t="s">
        <v>6</v>
      </c>
      <c r="B7" s="5" t="s">
        <v>7</v>
      </c>
      <c r="C7" s="5"/>
    </row>
    <row r="8" customFormat="false" ht="27.75" hidden="false" customHeight="true" outlineLevel="0" collapsed="false">
      <c r="A8" s="4" t="s">
        <v>8</v>
      </c>
      <c r="B8" s="5" t="s">
        <v>9</v>
      </c>
      <c r="C8" s="5"/>
    </row>
    <row r="9" customFormat="false" ht="15" hidden="false" customHeight="true" outlineLevel="0" collapsed="false">
      <c r="A9" s="4" t="s">
        <v>10</v>
      </c>
      <c r="B9" s="5" t="s">
        <v>11</v>
      </c>
      <c r="C9" s="5"/>
    </row>
    <row r="10" customFormat="false" ht="27.75" hidden="false" customHeight="true" outlineLevel="0" collapsed="false">
      <c r="A10" s="4" t="s">
        <v>12</v>
      </c>
      <c r="B10" s="5" t="s">
        <v>13</v>
      </c>
      <c r="C10" s="5"/>
    </row>
    <row r="11" customFormat="false" ht="15" hidden="false" customHeight="true" outlineLevel="0" collapsed="false">
      <c r="A11" s="4"/>
    </row>
    <row r="12" customFormat="false" ht="15" hidden="false" customHeight="true" outlineLevel="0" collapsed="false">
      <c r="A12" s="3" t="s">
        <v>14</v>
      </c>
      <c r="B12" s="3"/>
      <c r="C12" s="3"/>
    </row>
    <row r="13" customFormat="false" ht="15" hidden="false" customHeight="true" outlineLevel="0" collapsed="false">
      <c r="A13" s="4"/>
      <c r="B13" s="6" t="s">
        <v>15</v>
      </c>
      <c r="C13" s="6"/>
    </row>
    <row r="14" customFormat="false" ht="15" hidden="false" customHeight="true" outlineLevel="0" collapsed="false">
      <c r="A14" s="4"/>
      <c r="B14" s="7" t="s">
        <v>16</v>
      </c>
      <c r="C14" s="7"/>
    </row>
    <row r="15" customFormat="false" ht="15" hidden="false" customHeight="true" outlineLevel="0" collapsed="false">
      <c r="A15" s="4"/>
    </row>
    <row r="16" customFormat="false" ht="15" hidden="false" customHeight="true" outlineLevel="0" collapsed="false">
      <c r="A16" s="3" t="s">
        <v>17</v>
      </c>
      <c r="B16" s="3"/>
      <c r="C16" s="3"/>
    </row>
    <row r="17" customFormat="false" ht="15" hidden="false" customHeight="true" outlineLevel="0" collapsed="false">
      <c r="A17" s="8" t="s">
        <v>18</v>
      </c>
      <c r="B17" s="8" t="s">
        <v>19</v>
      </c>
      <c r="C17" s="8" t="s">
        <v>20</v>
      </c>
    </row>
    <row r="18" customFormat="false" ht="43.5" hidden="false" customHeight="true" outlineLevel="0" collapsed="false">
      <c r="A18" s="9" t="s">
        <v>21</v>
      </c>
      <c r="B18" s="10" t="s">
        <v>22</v>
      </c>
      <c r="C18" s="10" t="s">
        <v>23</v>
      </c>
    </row>
    <row r="19" customFormat="false" ht="43.5" hidden="false" customHeight="true" outlineLevel="0" collapsed="false">
      <c r="A19" s="9" t="s">
        <v>24</v>
      </c>
      <c r="B19" s="10" t="s">
        <v>25</v>
      </c>
      <c r="C19" s="10" t="s">
        <v>26</v>
      </c>
    </row>
    <row r="20" customFormat="false" ht="43.5" hidden="false" customHeight="true" outlineLevel="0" collapsed="false">
      <c r="A20" s="9" t="s">
        <v>27</v>
      </c>
      <c r="B20" s="10" t="s">
        <v>28</v>
      </c>
      <c r="C20" s="10" t="s">
        <v>29</v>
      </c>
    </row>
    <row r="21" customFormat="false" ht="43.5" hidden="false" customHeight="true" outlineLevel="0" collapsed="false">
      <c r="A21" s="9" t="s">
        <v>30</v>
      </c>
      <c r="B21" s="10" t="s">
        <v>31</v>
      </c>
      <c r="C21" s="10" t="s">
        <v>32</v>
      </c>
    </row>
    <row r="22" customFormat="false" ht="43.5" hidden="false" customHeight="true" outlineLevel="0" collapsed="false">
      <c r="A22" s="9" t="s">
        <v>33</v>
      </c>
      <c r="B22" s="10" t="s">
        <v>34</v>
      </c>
      <c r="C22" s="10" t="s">
        <v>35</v>
      </c>
    </row>
    <row r="23" customFormat="false" ht="43.5" hidden="false" customHeight="true" outlineLevel="0" collapsed="false">
      <c r="A23" s="9" t="s">
        <v>36</v>
      </c>
      <c r="B23" s="10" t="s">
        <v>37</v>
      </c>
      <c r="C23" s="10" t="s">
        <v>38</v>
      </c>
    </row>
    <row r="25" customFormat="false" ht="15" hidden="false" customHeight="true" outlineLevel="0" collapsed="false">
      <c r="A25" s="3" t="s">
        <v>39</v>
      </c>
      <c r="B25" s="3"/>
      <c r="C25" s="3"/>
    </row>
    <row r="26" customFormat="false" ht="27.75" hidden="false" customHeight="true" outlineLevel="0" collapsed="false">
      <c r="A26" s="11" t="s">
        <v>40</v>
      </c>
      <c r="B26" s="5" t="s">
        <v>41</v>
      </c>
      <c r="C26" s="5"/>
    </row>
    <row r="27" customFormat="false" ht="27.75" hidden="false" customHeight="true" outlineLevel="0" collapsed="false">
      <c r="A27" s="11" t="s">
        <v>40</v>
      </c>
      <c r="B27" s="5" t="s">
        <v>42</v>
      </c>
      <c r="C27" s="5"/>
    </row>
    <row r="28" customFormat="false" ht="27.75" hidden="false" customHeight="true" outlineLevel="0" collapsed="false">
      <c r="A28" s="11" t="s">
        <v>40</v>
      </c>
      <c r="B28" s="5" t="s">
        <v>43</v>
      </c>
      <c r="C28" s="5"/>
    </row>
    <row r="29" customFormat="false" ht="27.75" hidden="false" customHeight="true" outlineLevel="0" collapsed="false">
      <c r="A29" s="11" t="s">
        <v>40</v>
      </c>
      <c r="B29" s="5" t="s">
        <v>44</v>
      </c>
      <c r="C29" s="5"/>
    </row>
  </sheetData>
  <mergeCells count="12">
    <mergeCell ref="B5:C5"/>
    <mergeCell ref="B6:C6"/>
    <mergeCell ref="B7:C7"/>
    <mergeCell ref="B8:C8"/>
    <mergeCell ref="B9:C9"/>
    <mergeCell ref="B10:C10"/>
    <mergeCell ref="B13:C13"/>
    <mergeCell ref="B14:C14"/>
    <mergeCell ref="B26:C26"/>
    <mergeCell ref="B27:C27"/>
    <mergeCell ref="B28:C28"/>
    <mergeCell ref="B29:C2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C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45" activeCellId="0" sqref="B45"/>
    </sheetView>
  </sheetViews>
  <sheetFormatPr defaultColWidth="8.6328125" defaultRowHeight="14.2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60"/>
  </cols>
  <sheetData>
    <row r="1" customFormat="false" ht="17.25" hidden="false" customHeight="true" outlineLevel="0" collapsed="false">
      <c r="A1" s="12" t="s">
        <v>45</v>
      </c>
    </row>
    <row r="2" customFormat="false" ht="15" hidden="false" customHeight="true" outlineLevel="0" collapsed="false">
      <c r="A2" s="13" t="str">
        <f aca="false">UPPER(NAMA_MADRASAH)&amp;" | TAHUN PELAJARAN "&amp;TAHUN_AJAR</f>
        <v>MTSN 3 SUBANG | TAHUN PELAJARAN 2025-2026</v>
      </c>
    </row>
    <row r="3" customFormat="false" ht="15" hidden="false" customHeight="true" outlineLevel="0" collapsed="false">
      <c r="A3" s="14" t="str">
        <f aca="false">MAPEL&amp;" | Kelas "&amp;KELAS&amp;" | Semester "&amp;SEMESTER&amp;" | "&amp;JENIS_TES</f>
        <v>Bahasa Indonesia | Kelas IX G | Semester Ganjil | Penilaian Akhir Semester</v>
      </c>
    </row>
    <row r="4" customFormat="false" ht="15" hidden="false" customHeight="true" outlineLevel="0" collapsed="false">
      <c r="A4" s="15" t="s">
        <v>46</v>
      </c>
    </row>
    <row r="5" customFormat="false" ht="31.5" hidden="false" customHeight="true" outlineLevel="0" collapsed="false">
      <c r="A5" s="8" t="s">
        <v>47</v>
      </c>
      <c r="B5" s="8" t="s">
        <v>48</v>
      </c>
      <c r="C5" s="8" t="s">
        <v>49</v>
      </c>
    </row>
    <row r="6" customFormat="false" ht="15" hidden="false" customHeight="true" outlineLevel="0" collapsed="false">
      <c r="A6" s="16" t="n">
        <v>1</v>
      </c>
      <c r="B6" s="17" t="s">
        <v>50</v>
      </c>
      <c r="C6" s="18"/>
    </row>
    <row r="7" customFormat="false" ht="15" hidden="false" customHeight="true" outlineLevel="0" collapsed="false">
      <c r="A7" s="16" t="n">
        <v>2</v>
      </c>
      <c r="B7" s="17" t="s">
        <v>51</v>
      </c>
      <c r="C7" s="18"/>
    </row>
    <row r="8" customFormat="false" ht="15" hidden="false" customHeight="true" outlineLevel="0" collapsed="false">
      <c r="A8" s="16" t="n">
        <v>3</v>
      </c>
      <c r="B8" s="17" t="s">
        <v>52</v>
      </c>
      <c r="C8" s="18"/>
    </row>
    <row r="9" customFormat="false" ht="15" hidden="false" customHeight="true" outlineLevel="0" collapsed="false">
      <c r="A9" s="16" t="n">
        <v>4</v>
      </c>
      <c r="B9" s="17" t="s">
        <v>50</v>
      </c>
      <c r="C9" s="18"/>
    </row>
    <row r="10" customFormat="false" ht="15" hidden="false" customHeight="true" outlineLevel="0" collapsed="false">
      <c r="A10" s="16" t="n">
        <v>5</v>
      </c>
      <c r="B10" s="17" t="s">
        <v>53</v>
      </c>
      <c r="C10" s="18"/>
    </row>
    <row r="11" customFormat="false" ht="15" hidden="false" customHeight="true" outlineLevel="0" collapsed="false">
      <c r="A11" s="16" t="n">
        <v>6</v>
      </c>
      <c r="B11" s="17" t="s">
        <v>53</v>
      </c>
      <c r="C11" s="18"/>
    </row>
    <row r="12" customFormat="false" ht="15" hidden="false" customHeight="true" outlineLevel="0" collapsed="false">
      <c r="A12" s="16" t="n">
        <v>7</v>
      </c>
      <c r="B12" s="17" t="s">
        <v>52</v>
      </c>
      <c r="C12" s="18"/>
    </row>
    <row r="13" customFormat="false" ht="15" hidden="false" customHeight="true" outlineLevel="0" collapsed="false">
      <c r="A13" s="16" t="n">
        <v>8</v>
      </c>
      <c r="B13" s="17" t="s">
        <v>51</v>
      </c>
      <c r="C13" s="18"/>
    </row>
    <row r="14" customFormat="false" ht="15" hidden="false" customHeight="true" outlineLevel="0" collapsed="false">
      <c r="A14" s="16" t="n">
        <v>9</v>
      </c>
      <c r="B14" s="17" t="s">
        <v>51</v>
      </c>
      <c r="C14" s="18"/>
    </row>
    <row r="15" customFormat="false" ht="15" hidden="false" customHeight="true" outlineLevel="0" collapsed="false">
      <c r="A15" s="16" t="n">
        <v>10</v>
      </c>
      <c r="B15" s="17" t="s">
        <v>53</v>
      </c>
      <c r="C15" s="18"/>
    </row>
    <row r="16" customFormat="false" ht="15" hidden="false" customHeight="true" outlineLevel="0" collapsed="false">
      <c r="A16" s="16" t="n">
        <v>11</v>
      </c>
      <c r="B16" s="17" t="s">
        <v>53</v>
      </c>
      <c r="C16" s="18"/>
    </row>
    <row r="17" customFormat="false" ht="15" hidden="false" customHeight="true" outlineLevel="0" collapsed="false">
      <c r="A17" s="16" t="n">
        <v>12</v>
      </c>
      <c r="B17" s="17" t="s">
        <v>53</v>
      </c>
      <c r="C17" s="18"/>
    </row>
    <row r="18" customFormat="false" ht="15" hidden="false" customHeight="true" outlineLevel="0" collapsed="false">
      <c r="A18" s="16" t="n">
        <v>13</v>
      </c>
      <c r="B18" s="17" t="s">
        <v>51</v>
      </c>
      <c r="C18" s="18"/>
    </row>
    <row r="19" customFormat="false" ht="15" hidden="false" customHeight="true" outlineLevel="0" collapsed="false">
      <c r="A19" s="16" t="n">
        <v>14</v>
      </c>
      <c r="B19" s="17" t="s">
        <v>50</v>
      </c>
      <c r="C19" s="18"/>
    </row>
    <row r="20" customFormat="false" ht="15" hidden="false" customHeight="true" outlineLevel="0" collapsed="false">
      <c r="A20" s="16" t="n">
        <v>15</v>
      </c>
      <c r="B20" s="17" t="s">
        <v>52</v>
      </c>
      <c r="C20" s="18"/>
    </row>
    <row r="21" customFormat="false" ht="15" hidden="false" customHeight="true" outlineLevel="0" collapsed="false">
      <c r="A21" s="16" t="n">
        <v>16</v>
      </c>
      <c r="B21" s="17" t="s">
        <v>53</v>
      </c>
      <c r="C21" s="18"/>
    </row>
    <row r="22" customFormat="false" ht="15" hidden="false" customHeight="true" outlineLevel="0" collapsed="false">
      <c r="A22" s="16" t="n">
        <v>17</v>
      </c>
      <c r="B22" s="17" t="s">
        <v>53</v>
      </c>
      <c r="C22" s="18"/>
    </row>
    <row r="23" customFormat="false" ht="15" hidden="false" customHeight="true" outlineLevel="0" collapsed="false">
      <c r="A23" s="16" t="n">
        <v>18</v>
      </c>
      <c r="B23" s="17" t="s">
        <v>50</v>
      </c>
      <c r="C23" s="18"/>
    </row>
    <row r="24" customFormat="false" ht="15" hidden="false" customHeight="true" outlineLevel="0" collapsed="false">
      <c r="A24" s="16" t="n">
        <v>19</v>
      </c>
      <c r="B24" s="17" t="s">
        <v>53</v>
      </c>
      <c r="C24" s="18"/>
    </row>
    <row r="25" customFormat="false" ht="15" hidden="false" customHeight="true" outlineLevel="0" collapsed="false">
      <c r="A25" s="16" t="n">
        <v>20</v>
      </c>
      <c r="B25" s="17" t="s">
        <v>52</v>
      </c>
      <c r="C25" s="18"/>
    </row>
    <row r="26" customFormat="false" ht="15" hidden="false" customHeight="true" outlineLevel="0" collapsed="false">
      <c r="A26" s="16" t="n">
        <v>21</v>
      </c>
      <c r="B26" s="17" t="s">
        <v>51</v>
      </c>
      <c r="C26" s="18"/>
    </row>
    <row r="27" customFormat="false" ht="15" hidden="false" customHeight="true" outlineLevel="0" collapsed="false">
      <c r="A27" s="16" t="n">
        <v>22</v>
      </c>
      <c r="B27" s="17" t="s">
        <v>51</v>
      </c>
      <c r="C27" s="18"/>
    </row>
    <row r="28" customFormat="false" ht="15" hidden="false" customHeight="true" outlineLevel="0" collapsed="false">
      <c r="A28" s="16" t="n">
        <v>23</v>
      </c>
      <c r="B28" s="17" t="s">
        <v>50</v>
      </c>
      <c r="C28" s="18"/>
    </row>
    <row r="29" customFormat="false" ht="15" hidden="false" customHeight="true" outlineLevel="0" collapsed="false">
      <c r="A29" s="16" t="n">
        <v>24</v>
      </c>
      <c r="B29" s="17" t="s">
        <v>53</v>
      </c>
      <c r="C29" s="18"/>
    </row>
    <row r="30" customFormat="false" ht="15" hidden="false" customHeight="true" outlineLevel="0" collapsed="false">
      <c r="A30" s="16" t="n">
        <v>25</v>
      </c>
      <c r="B30" s="17" t="s">
        <v>51</v>
      </c>
      <c r="C30" s="18"/>
    </row>
    <row r="31" customFormat="false" ht="15" hidden="false" customHeight="true" outlineLevel="0" collapsed="false">
      <c r="A31" s="16" t="n">
        <v>26</v>
      </c>
      <c r="B31" s="17" t="s">
        <v>53</v>
      </c>
      <c r="C31" s="18"/>
    </row>
    <row r="32" customFormat="false" ht="15" hidden="false" customHeight="true" outlineLevel="0" collapsed="false">
      <c r="A32" s="16" t="n">
        <v>27</v>
      </c>
      <c r="B32" s="17" t="s">
        <v>53</v>
      </c>
      <c r="C32" s="18"/>
    </row>
    <row r="33" customFormat="false" ht="15" hidden="false" customHeight="true" outlineLevel="0" collapsed="false">
      <c r="A33" s="16" t="n">
        <v>28</v>
      </c>
      <c r="B33" s="17" t="s">
        <v>53</v>
      </c>
      <c r="C33" s="18"/>
    </row>
    <row r="34" customFormat="false" ht="15" hidden="false" customHeight="true" outlineLevel="0" collapsed="false">
      <c r="A34" s="16" t="n">
        <v>29</v>
      </c>
      <c r="B34" s="17" t="s">
        <v>51</v>
      </c>
      <c r="C34" s="18"/>
    </row>
    <row r="35" customFormat="false" ht="15" hidden="false" customHeight="true" outlineLevel="0" collapsed="false">
      <c r="A35" s="16" t="n">
        <v>30</v>
      </c>
      <c r="B35" s="17" t="s">
        <v>51</v>
      </c>
      <c r="C35" s="18"/>
    </row>
    <row r="36" customFormat="false" ht="15" hidden="false" customHeight="true" outlineLevel="0" collapsed="false">
      <c r="A36" s="16" t="n">
        <v>31</v>
      </c>
      <c r="B36" s="17" t="s">
        <v>52</v>
      </c>
      <c r="C36" s="18"/>
    </row>
    <row r="37" customFormat="false" ht="15" hidden="false" customHeight="true" outlineLevel="0" collapsed="false">
      <c r="A37" s="16" t="n">
        <v>32</v>
      </c>
      <c r="B37" s="17" t="s">
        <v>52</v>
      </c>
      <c r="C37" s="18"/>
    </row>
    <row r="38" customFormat="false" ht="15" hidden="false" customHeight="true" outlineLevel="0" collapsed="false">
      <c r="A38" s="16" t="n">
        <v>33</v>
      </c>
      <c r="B38" s="17" t="s">
        <v>51</v>
      </c>
      <c r="C38" s="18"/>
    </row>
    <row r="39" customFormat="false" ht="15" hidden="false" customHeight="true" outlineLevel="0" collapsed="false">
      <c r="A39" s="16" t="n">
        <v>34</v>
      </c>
      <c r="B39" s="17" t="s">
        <v>52</v>
      </c>
      <c r="C39" s="18"/>
    </row>
    <row r="40" customFormat="false" ht="15" hidden="false" customHeight="true" outlineLevel="0" collapsed="false">
      <c r="A40" s="16" t="n">
        <v>35</v>
      </c>
      <c r="B40" s="17" t="s">
        <v>50</v>
      </c>
      <c r="C40" s="18"/>
    </row>
    <row r="41" customFormat="false" ht="15" hidden="false" customHeight="true" outlineLevel="0" collapsed="false">
      <c r="A41" s="16" t="n">
        <v>36</v>
      </c>
      <c r="B41" s="17" t="s">
        <v>52</v>
      </c>
      <c r="C41" s="18"/>
    </row>
    <row r="42" customFormat="false" ht="15" hidden="false" customHeight="true" outlineLevel="0" collapsed="false">
      <c r="A42" s="16" t="n">
        <v>37</v>
      </c>
      <c r="B42" s="17" t="s">
        <v>52</v>
      </c>
      <c r="C42" s="18"/>
    </row>
    <row r="43" customFormat="false" ht="15" hidden="false" customHeight="true" outlineLevel="0" collapsed="false">
      <c r="A43" s="16" t="n">
        <v>38</v>
      </c>
      <c r="B43" s="17" t="s">
        <v>52</v>
      </c>
      <c r="C43" s="18"/>
    </row>
    <row r="44" customFormat="false" ht="15" hidden="false" customHeight="true" outlineLevel="0" collapsed="false">
      <c r="A44" s="16" t="n">
        <v>39</v>
      </c>
      <c r="B44" s="17" t="s">
        <v>51</v>
      </c>
      <c r="C44" s="18"/>
    </row>
    <row r="45" customFormat="false" ht="15" hidden="false" customHeight="true" outlineLevel="0" collapsed="false">
      <c r="A45" s="16" t="n">
        <v>40</v>
      </c>
      <c r="B45" s="17" t="s">
        <v>53</v>
      </c>
      <c r="C45" s="18"/>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8.6328125" defaultRowHeight="14.25" zeroHeight="false" outlineLevelRow="0" outlineLevelCol="0"/>
  <cols>
    <col collapsed="false" customWidth="true" hidden="false" outlineLevel="0" max="1" min="1" style="0" width="42"/>
    <col collapsed="false" customWidth="true" hidden="false" outlineLevel="0" max="2" min="2" style="0" width="36"/>
    <col collapsed="false" customWidth="true" hidden="false" outlineLevel="0" max="3" min="3" style="0" width="62"/>
  </cols>
  <sheetData>
    <row r="1" customFormat="false" ht="17.25" hidden="false" customHeight="true" outlineLevel="0" collapsed="false">
      <c r="A1" s="12" t="s">
        <v>54</v>
      </c>
    </row>
    <row r="2" customFormat="false" ht="15" hidden="false" customHeight="true" outlineLevel="0" collapsed="false">
      <c r="A2" s="19" t="s">
        <v>55</v>
      </c>
    </row>
    <row r="4" customFormat="false" ht="15" hidden="false" customHeight="true" outlineLevel="0" collapsed="false">
      <c r="A4" s="3" t="s">
        <v>56</v>
      </c>
      <c r="B4" s="3"/>
      <c r="C4" s="3"/>
    </row>
    <row r="5" customFormat="false" ht="15" hidden="false" customHeight="true" outlineLevel="0" collapsed="false">
      <c r="A5" s="20" t="s">
        <v>57</v>
      </c>
      <c r="B5" s="18" t="s">
        <v>58</v>
      </c>
      <c r="C5" s="21"/>
    </row>
    <row r="6" customFormat="false" ht="15" hidden="false" customHeight="true" outlineLevel="0" collapsed="false">
      <c r="A6" s="20" t="s">
        <v>59</v>
      </c>
      <c r="B6" s="18" t="s">
        <v>60</v>
      </c>
      <c r="C6" s="21"/>
    </row>
    <row r="7" customFormat="false" ht="15" hidden="false" customHeight="true" outlineLevel="0" collapsed="false">
      <c r="A7" s="20" t="s">
        <v>61</v>
      </c>
      <c r="B7" s="18" t="s">
        <v>62</v>
      </c>
      <c r="C7" s="21"/>
    </row>
    <row r="8" customFormat="false" ht="15" hidden="false" customHeight="true" outlineLevel="0" collapsed="false">
      <c r="A8" s="20" t="s">
        <v>63</v>
      </c>
      <c r="B8" s="18" t="s">
        <v>64</v>
      </c>
      <c r="C8" s="21" t="s">
        <v>65</v>
      </c>
    </row>
    <row r="9" customFormat="false" ht="15" hidden="false" customHeight="true" outlineLevel="0" collapsed="false">
      <c r="A9" s="20" t="s">
        <v>66</v>
      </c>
      <c r="B9" s="18" t="s">
        <v>67</v>
      </c>
      <c r="C9" s="21" t="s">
        <v>68</v>
      </c>
    </row>
    <row r="10" customFormat="false" ht="15" hidden="false" customHeight="true" outlineLevel="0" collapsed="false">
      <c r="A10" s="20" t="s">
        <v>69</v>
      </c>
      <c r="B10" s="18" t="s">
        <v>70</v>
      </c>
      <c r="C10" s="21" t="s">
        <v>68</v>
      </c>
    </row>
    <row r="11" customFormat="false" ht="15" hidden="false" customHeight="true" outlineLevel="0" collapsed="false">
      <c r="A11" s="20" t="s">
        <v>71</v>
      </c>
      <c r="B11" s="18" t="s">
        <v>72</v>
      </c>
      <c r="C11" s="21" t="s">
        <v>73</v>
      </c>
    </row>
    <row r="12" customFormat="false" ht="15" hidden="false" customHeight="true" outlineLevel="0" collapsed="false">
      <c r="A12" s="20" t="s">
        <v>74</v>
      </c>
      <c r="B12" s="18" t="s">
        <v>75</v>
      </c>
      <c r="C12" s="21" t="s">
        <v>76</v>
      </c>
    </row>
    <row r="13" customFormat="false" ht="15" hidden="false" customHeight="true" outlineLevel="0" collapsed="false">
      <c r="A13" s="20" t="s">
        <v>77</v>
      </c>
      <c r="B13" s="18" t="s">
        <v>78</v>
      </c>
      <c r="C13" s="21"/>
    </row>
    <row r="14" customFormat="false" ht="15" hidden="false" customHeight="true" outlineLevel="0" collapsed="false">
      <c r="A14" s="20" t="s">
        <v>79</v>
      </c>
      <c r="B14" s="18" t="s">
        <v>80</v>
      </c>
      <c r="C14" s="21"/>
    </row>
    <row r="15" customFormat="false" ht="15" hidden="false" customHeight="true" outlineLevel="0" collapsed="false">
      <c r="A15" s="20" t="s">
        <v>81</v>
      </c>
      <c r="B15" s="18" t="s">
        <v>82</v>
      </c>
      <c r="C15" s="21"/>
    </row>
    <row r="16" customFormat="false" ht="15" hidden="false" customHeight="true" outlineLevel="0" collapsed="false">
      <c r="A16" s="20" t="s">
        <v>83</v>
      </c>
      <c r="B16" s="18" t="s">
        <v>84</v>
      </c>
      <c r="C16" s="21"/>
    </row>
    <row r="17" customFormat="false" ht="15" hidden="false" customHeight="true" outlineLevel="0" collapsed="false">
      <c r="A17" s="20" t="s">
        <v>85</v>
      </c>
      <c r="B17" s="18" t="s">
        <v>86</v>
      </c>
      <c r="C17" s="21" t="s">
        <v>87</v>
      </c>
    </row>
    <row r="19" customFormat="false" ht="15" hidden="false" customHeight="true" outlineLevel="0" collapsed="false">
      <c r="A19" s="3" t="s">
        <v>88</v>
      </c>
      <c r="B19" s="3"/>
      <c r="C19" s="3"/>
    </row>
    <row r="20" customFormat="false" ht="15" hidden="false" customHeight="true" outlineLevel="0" collapsed="false">
      <c r="A20" s="20" t="s">
        <v>89</v>
      </c>
      <c r="B20" s="22" t="n">
        <v>75</v>
      </c>
      <c r="C20" s="21" t="s">
        <v>90</v>
      </c>
    </row>
    <row r="21" customFormat="false" ht="15" hidden="false" customHeight="true" outlineLevel="0" collapsed="false">
      <c r="A21" s="20" t="s">
        <v>91</v>
      </c>
      <c r="B21" s="23" t="n">
        <v>0.27</v>
      </c>
      <c r="C21" s="21" t="s">
        <v>92</v>
      </c>
    </row>
    <row r="22" customFormat="false" ht="15" hidden="false" customHeight="true" outlineLevel="0" collapsed="false">
      <c r="A22" s="20" t="s">
        <v>93</v>
      </c>
      <c r="B22" s="24" t="n">
        <v>0.05</v>
      </c>
      <c r="C22" s="21" t="s">
        <v>94</v>
      </c>
    </row>
    <row r="23" customFormat="false" ht="15" hidden="false" customHeight="true" outlineLevel="0" collapsed="false">
      <c r="A23" s="20" t="s">
        <v>95</v>
      </c>
      <c r="B23" s="24" t="n">
        <v>0.3</v>
      </c>
      <c r="C23" s="21" t="s">
        <v>96</v>
      </c>
    </row>
    <row r="24" customFormat="false" ht="15" hidden="false" customHeight="true" outlineLevel="0" collapsed="false">
      <c r="A24" s="20" t="s">
        <v>97</v>
      </c>
      <c r="B24" s="24" t="n">
        <v>0.7</v>
      </c>
      <c r="C24" s="21" t="s">
        <v>98</v>
      </c>
    </row>
    <row r="25" customFormat="false" ht="15" hidden="false" customHeight="true" outlineLevel="0" collapsed="false">
      <c r="A25" s="20" t="s">
        <v>99</v>
      </c>
      <c r="B25" s="24" t="n">
        <v>0.2</v>
      </c>
      <c r="C25" s="21" t="s">
        <v>100</v>
      </c>
    </row>
    <row r="26" customFormat="false" ht="15" hidden="false" customHeight="true" outlineLevel="0" collapsed="false">
      <c r="A26" s="20" t="s">
        <v>101</v>
      </c>
      <c r="B26" s="24" t="n">
        <v>0.4</v>
      </c>
      <c r="C26" s="21"/>
    </row>
    <row r="27" customFormat="false" ht="15" hidden="false" customHeight="true" outlineLevel="0" collapsed="false">
      <c r="A27" s="20" t="s">
        <v>102</v>
      </c>
      <c r="B27" s="24" t="n">
        <v>0.7</v>
      </c>
      <c r="C27" s="21" t="s">
        <v>103</v>
      </c>
    </row>
    <row r="28" customFormat="false" ht="15" hidden="false" customHeight="true" outlineLevel="0" collapsed="false">
      <c r="A28" s="20" t="s">
        <v>104</v>
      </c>
      <c r="B28" s="23" t="n">
        <v>0.05</v>
      </c>
      <c r="C28" s="21" t="s">
        <v>105</v>
      </c>
    </row>
  </sheetData>
  <dataValidations count="1">
    <dataValidation allowBlank="false" errorStyle="stop" operator="between" showDropDown="false" showErrorMessage="false" showInputMessage="false" sqref="B8" type="list">
      <formula1>"Ganjil,Genap"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AR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K6" activePane="bottomRight" state="frozen"/>
      <selection pane="topLeft" activeCell="A1" activeCellId="0" sqref="A1"/>
      <selection pane="topRight" activeCell="K1" activeCellId="0" sqref="K1"/>
      <selection pane="bottomLeft" activeCell="A6" activeCellId="0" sqref="A6"/>
      <selection pane="bottomRight" activeCell="D6" activeCellId="0" sqref="D6"/>
    </sheetView>
  </sheetViews>
  <sheetFormatPr defaultColWidth="8.6328125" defaultRowHeight="14.2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9"/>
    <col collapsed="false" customWidth="true" hidden="false" outlineLevel="0" max="4" min="4" style="0" width="14"/>
    <col collapsed="false" customWidth="true" hidden="false" outlineLevel="0" max="5" min="5" style="0" width="7.63"/>
    <col collapsed="false" customWidth="true" hidden="false" outlineLevel="0" max="44" min="6" style="0" width="4.63"/>
  </cols>
  <sheetData>
    <row r="1" customFormat="false" ht="17.25" hidden="false" customHeight="true" outlineLevel="0" collapsed="false">
      <c r="A1" s="12" t="s">
        <v>106</v>
      </c>
    </row>
    <row r="2" customFormat="false" ht="15" hidden="false" customHeight="true" outlineLevel="0" collapsed="false">
      <c r="A2" s="13" t="str">
        <f aca="false">UPPER(NAMA_MADRASAH)&amp;" | TAHUN PELAJARAN "&amp;TAHUN_AJAR</f>
        <v>MTSN 3 SUBANG | TAHUN PELAJARAN 2025-2026</v>
      </c>
    </row>
    <row r="3" customFormat="false" ht="15" hidden="false" customHeight="true" outlineLevel="0" collapsed="false">
      <c r="A3" s="14" t="str">
        <f aca="false">MAPEL&amp;" | Kelas "&amp;KELAS&amp;" | Semester "&amp;SEMESTER&amp;" | "&amp;JENIS_TES</f>
        <v>Bahasa Indonesia | Kelas IX G | Semester Ganjil | Penilaian Akhir Semester</v>
      </c>
    </row>
    <row r="4" customFormat="false" ht="15" hidden="false" customHeight="true" outlineLevel="0" collapsed="false">
      <c r="A4" s="15" t="s">
        <v>107</v>
      </c>
    </row>
    <row r="5" customFormat="false" ht="21.75" hidden="false" customHeight="true" outlineLevel="0" collapsed="false">
      <c r="A5" s="8" t="s">
        <v>47</v>
      </c>
      <c r="B5" s="8" t="s">
        <v>108</v>
      </c>
      <c r="C5" s="8" t="s">
        <v>69</v>
      </c>
      <c r="D5" s="8" t="s">
        <v>109</v>
      </c>
      <c r="E5" s="8" t="n">
        <v>1</v>
      </c>
      <c r="F5" s="8" t="n">
        <v>2</v>
      </c>
      <c r="G5" s="8" t="n">
        <v>3</v>
      </c>
      <c r="H5" s="8" t="n">
        <v>4</v>
      </c>
      <c r="I5" s="8" t="n">
        <v>5</v>
      </c>
      <c r="J5" s="8" t="n">
        <v>6</v>
      </c>
      <c r="K5" s="8" t="n">
        <v>7</v>
      </c>
      <c r="L5" s="8" t="n">
        <v>8</v>
      </c>
      <c r="M5" s="8" t="n">
        <v>9</v>
      </c>
      <c r="N5" s="8" t="n">
        <v>10</v>
      </c>
      <c r="O5" s="8" t="n">
        <v>11</v>
      </c>
      <c r="P5" s="8" t="n">
        <v>12</v>
      </c>
      <c r="Q5" s="8" t="n">
        <v>13</v>
      </c>
      <c r="R5" s="8" t="n">
        <v>14</v>
      </c>
      <c r="S5" s="8" t="n">
        <v>15</v>
      </c>
      <c r="T5" s="8" t="n">
        <v>16</v>
      </c>
      <c r="U5" s="8" t="n">
        <v>17</v>
      </c>
      <c r="V5" s="8" t="n">
        <v>18</v>
      </c>
      <c r="W5" s="8" t="n">
        <v>19</v>
      </c>
      <c r="X5" s="8" t="n">
        <v>20</v>
      </c>
      <c r="Y5" s="8" t="n">
        <v>21</v>
      </c>
      <c r="Z5" s="8" t="n">
        <v>22</v>
      </c>
      <c r="AA5" s="8" t="n">
        <v>23</v>
      </c>
      <c r="AB5" s="8" t="n">
        <v>24</v>
      </c>
      <c r="AC5" s="8" t="n">
        <v>25</v>
      </c>
      <c r="AD5" s="8" t="n">
        <v>26</v>
      </c>
      <c r="AE5" s="8" t="n">
        <v>27</v>
      </c>
      <c r="AF5" s="8" t="n">
        <v>28</v>
      </c>
      <c r="AG5" s="8" t="n">
        <v>29</v>
      </c>
      <c r="AH5" s="8" t="n">
        <v>30</v>
      </c>
      <c r="AI5" s="8" t="n">
        <v>31</v>
      </c>
      <c r="AJ5" s="8" t="n">
        <v>32</v>
      </c>
      <c r="AK5" s="8" t="n">
        <v>33</v>
      </c>
      <c r="AL5" s="8" t="n">
        <v>34</v>
      </c>
      <c r="AM5" s="8" t="n">
        <v>35</v>
      </c>
      <c r="AN5" s="8" t="n">
        <v>36</v>
      </c>
      <c r="AO5" s="8" t="n">
        <v>37</v>
      </c>
      <c r="AP5" s="8" t="n">
        <v>38</v>
      </c>
      <c r="AQ5" s="8" t="n">
        <v>39</v>
      </c>
      <c r="AR5" s="8" t="n">
        <v>40</v>
      </c>
    </row>
    <row r="6" customFormat="false" ht="15" hidden="false" customHeight="true" outlineLevel="0" collapsed="false">
      <c r="A6" s="16" t="n">
        <v>1</v>
      </c>
      <c r="B6" s="25" t="s">
        <v>110</v>
      </c>
      <c r="C6" s="18" t="str">
        <f aca="false">KELAS</f>
        <v>IX G</v>
      </c>
      <c r="D6" s="26" t="s">
        <v>111</v>
      </c>
      <c r="E6" s="25" t="s">
        <v>50</v>
      </c>
      <c r="F6" s="25" t="s">
        <v>53</v>
      </c>
      <c r="G6" s="25" t="s">
        <v>52</v>
      </c>
      <c r="H6" s="25" t="s">
        <v>53</v>
      </c>
      <c r="I6" s="25" t="s">
        <v>53</v>
      </c>
      <c r="J6" s="25" t="s">
        <v>51</v>
      </c>
      <c r="K6" s="25" t="s">
        <v>51</v>
      </c>
      <c r="L6" s="25" t="s">
        <v>51</v>
      </c>
      <c r="M6" s="25" t="s">
        <v>53</v>
      </c>
      <c r="N6" s="25" t="s">
        <v>52</v>
      </c>
      <c r="O6" s="25"/>
      <c r="P6" s="25" t="s">
        <v>52</v>
      </c>
      <c r="Q6" s="25" t="s">
        <v>51</v>
      </c>
      <c r="R6" s="25" t="s">
        <v>51</v>
      </c>
      <c r="S6" s="25" t="s">
        <v>53</v>
      </c>
      <c r="T6" s="25" t="s">
        <v>52</v>
      </c>
      <c r="U6" s="25" t="s">
        <v>53</v>
      </c>
      <c r="V6" s="25" t="s">
        <v>53</v>
      </c>
      <c r="W6" s="25" t="s">
        <v>50</v>
      </c>
      <c r="X6" s="25" t="s">
        <v>53</v>
      </c>
      <c r="Y6" s="25" t="s">
        <v>51</v>
      </c>
      <c r="Z6" s="25" t="s">
        <v>51</v>
      </c>
      <c r="AA6" s="25" t="s">
        <v>53</v>
      </c>
      <c r="AB6" s="25" t="s">
        <v>50</v>
      </c>
      <c r="AC6" s="25" t="s">
        <v>53</v>
      </c>
      <c r="AD6" s="25" t="s">
        <v>53</v>
      </c>
      <c r="AE6" s="25" t="s">
        <v>51</v>
      </c>
      <c r="AF6" s="25" t="s">
        <v>51</v>
      </c>
      <c r="AG6" s="25" t="s">
        <v>51</v>
      </c>
      <c r="AH6" s="25" t="s">
        <v>51</v>
      </c>
      <c r="AI6" s="25"/>
      <c r="AJ6" s="25" t="s">
        <v>51</v>
      </c>
      <c r="AK6" s="25" t="s">
        <v>50</v>
      </c>
      <c r="AL6" s="25" t="s">
        <v>52</v>
      </c>
      <c r="AM6" s="25" t="s">
        <v>53</v>
      </c>
      <c r="AN6" s="25" t="s">
        <v>52</v>
      </c>
      <c r="AO6" s="25" t="s">
        <v>53</v>
      </c>
      <c r="AP6" s="25" t="s">
        <v>52</v>
      </c>
      <c r="AQ6" s="25" t="s">
        <v>52</v>
      </c>
      <c r="AR6" s="25" t="s">
        <v>50</v>
      </c>
    </row>
    <row r="7" customFormat="false" ht="15" hidden="false" customHeight="true" outlineLevel="0" collapsed="false">
      <c r="A7" s="16" t="n">
        <v>2</v>
      </c>
      <c r="B7" s="25" t="s">
        <v>112</v>
      </c>
      <c r="C7" s="18" t="str">
        <f aca="false">KELAS</f>
        <v>IX G</v>
      </c>
      <c r="D7" s="26" t="s">
        <v>113</v>
      </c>
      <c r="E7" s="25" t="s">
        <v>52</v>
      </c>
      <c r="F7" s="25" t="s">
        <v>51</v>
      </c>
      <c r="G7" s="25" t="s">
        <v>51</v>
      </c>
      <c r="H7" s="25" t="s">
        <v>50</v>
      </c>
      <c r="I7" s="25" t="s">
        <v>53</v>
      </c>
      <c r="J7" s="25" t="s">
        <v>53</v>
      </c>
      <c r="K7" s="25" t="s">
        <v>52</v>
      </c>
      <c r="L7" s="25" t="s">
        <v>51</v>
      </c>
      <c r="M7" s="25" t="s">
        <v>51</v>
      </c>
      <c r="N7" s="25" t="s">
        <v>52</v>
      </c>
      <c r="O7" s="25" t="s">
        <v>53</v>
      </c>
      <c r="P7" s="25" t="s">
        <v>53</v>
      </c>
      <c r="Q7" s="25" t="s">
        <v>51</v>
      </c>
      <c r="R7" s="25" t="s">
        <v>50</v>
      </c>
      <c r="S7" s="25" t="s">
        <v>52</v>
      </c>
      <c r="T7" s="25" t="s">
        <v>53</v>
      </c>
      <c r="U7" s="25" t="s">
        <v>53</v>
      </c>
      <c r="V7" s="25" t="s">
        <v>50</v>
      </c>
      <c r="W7" s="25" t="s">
        <v>53</v>
      </c>
      <c r="X7" s="25" t="s">
        <v>52</v>
      </c>
      <c r="Y7" s="25" t="s">
        <v>51</v>
      </c>
      <c r="Z7" s="25" t="s">
        <v>51</v>
      </c>
      <c r="AA7" s="25" t="s">
        <v>50</v>
      </c>
      <c r="AB7" s="25" t="s">
        <v>53</v>
      </c>
      <c r="AC7" s="25" t="s">
        <v>51</v>
      </c>
      <c r="AD7" s="25"/>
      <c r="AE7" s="25" t="s">
        <v>50</v>
      </c>
      <c r="AF7" s="25" t="s">
        <v>53</v>
      </c>
      <c r="AG7" s="25" t="s">
        <v>51</v>
      </c>
      <c r="AH7" s="25" t="s">
        <v>51</v>
      </c>
      <c r="AI7" s="25"/>
      <c r="AJ7" s="25" t="s">
        <v>52</v>
      </c>
      <c r="AK7" s="25" t="s">
        <v>51</v>
      </c>
      <c r="AL7" s="25" t="s">
        <v>52</v>
      </c>
      <c r="AM7" s="25" t="s">
        <v>50</v>
      </c>
      <c r="AN7" s="25" t="s">
        <v>52</v>
      </c>
      <c r="AO7" s="25" t="s">
        <v>52</v>
      </c>
      <c r="AP7" s="25" t="s">
        <v>51</v>
      </c>
      <c r="AQ7" s="25" t="s">
        <v>51</v>
      </c>
      <c r="AR7" s="25" t="s">
        <v>53</v>
      </c>
    </row>
    <row r="8" customFormat="false" ht="15" hidden="false" customHeight="true" outlineLevel="0" collapsed="false">
      <c r="A8" s="16" t="n">
        <v>3</v>
      </c>
      <c r="B8" s="25" t="s">
        <v>114</v>
      </c>
      <c r="C8" s="18" t="str">
        <f aca="false">KELAS</f>
        <v>IX G</v>
      </c>
      <c r="D8" s="26" t="s">
        <v>115</v>
      </c>
      <c r="E8" s="25" t="s">
        <v>52</v>
      </c>
      <c r="F8" s="25" t="s">
        <v>52</v>
      </c>
      <c r="G8" s="25" t="s">
        <v>53</v>
      </c>
      <c r="H8" s="25" t="s">
        <v>50</v>
      </c>
      <c r="I8" s="25" t="s">
        <v>52</v>
      </c>
      <c r="J8" s="25" t="s">
        <v>52</v>
      </c>
      <c r="K8" s="25" t="s">
        <v>53</v>
      </c>
      <c r="L8" s="25" t="s">
        <v>51</v>
      </c>
      <c r="M8" s="25" t="s">
        <v>51</v>
      </c>
      <c r="N8" s="25" t="s">
        <v>52</v>
      </c>
      <c r="O8" s="25" t="s">
        <v>52</v>
      </c>
      <c r="P8" s="25" t="s">
        <v>53</v>
      </c>
      <c r="Q8" s="25" t="s">
        <v>51</v>
      </c>
      <c r="R8" s="25" t="s">
        <v>50</v>
      </c>
      <c r="S8" s="25" t="s">
        <v>51</v>
      </c>
      <c r="T8" s="25" t="s">
        <v>53</v>
      </c>
      <c r="U8" s="25" t="s">
        <v>51</v>
      </c>
      <c r="V8" s="25" t="s">
        <v>52</v>
      </c>
      <c r="W8" s="25" t="s">
        <v>53</v>
      </c>
      <c r="X8" s="25" t="s">
        <v>51</v>
      </c>
      <c r="Y8" s="25" t="s">
        <v>52</v>
      </c>
      <c r="Z8" s="25" t="s">
        <v>51</v>
      </c>
      <c r="AA8" s="25" t="s">
        <v>50</v>
      </c>
      <c r="AB8" s="25" t="s">
        <v>53</v>
      </c>
      <c r="AC8" s="25" t="s">
        <v>51</v>
      </c>
      <c r="AD8" s="25" t="s">
        <v>52</v>
      </c>
      <c r="AE8" s="25" t="s">
        <v>53</v>
      </c>
      <c r="AF8" s="25" t="s">
        <v>52</v>
      </c>
      <c r="AG8" s="25" t="s">
        <v>53</v>
      </c>
      <c r="AH8" s="25" t="s">
        <v>53</v>
      </c>
      <c r="AI8" s="25" t="s">
        <v>52</v>
      </c>
      <c r="AJ8" s="25" t="s">
        <v>53</v>
      </c>
      <c r="AK8" s="25"/>
      <c r="AL8" s="25" t="s">
        <v>52</v>
      </c>
      <c r="AM8" s="25" t="s">
        <v>50</v>
      </c>
      <c r="AN8" s="25" t="s">
        <v>52</v>
      </c>
      <c r="AO8" s="25" t="s">
        <v>53</v>
      </c>
      <c r="AP8" s="25" t="s">
        <v>50</v>
      </c>
      <c r="AQ8" s="25" t="s">
        <v>51</v>
      </c>
      <c r="AR8" s="25" t="s">
        <v>50</v>
      </c>
    </row>
    <row r="9" customFormat="false" ht="15" hidden="false" customHeight="true" outlineLevel="0" collapsed="false">
      <c r="A9" s="16" t="n">
        <v>4</v>
      </c>
      <c r="B9" s="25" t="s">
        <v>116</v>
      </c>
      <c r="C9" s="18" t="str">
        <f aca="false">KELAS</f>
        <v>IX G</v>
      </c>
      <c r="D9" s="26" t="s">
        <v>117</v>
      </c>
      <c r="E9" s="25" t="s">
        <v>53</v>
      </c>
      <c r="F9" s="25" t="s">
        <v>53</v>
      </c>
      <c r="G9" s="25" t="s">
        <v>52</v>
      </c>
      <c r="H9" s="25" t="s">
        <v>50</v>
      </c>
      <c r="I9" s="25" t="s">
        <v>52</v>
      </c>
      <c r="J9" s="25" t="s">
        <v>52</v>
      </c>
      <c r="K9" s="25" t="s">
        <v>52</v>
      </c>
      <c r="L9" s="25" t="s">
        <v>51</v>
      </c>
      <c r="M9" s="25" t="s">
        <v>51</v>
      </c>
      <c r="N9" s="25" t="s">
        <v>53</v>
      </c>
      <c r="O9" s="25" t="s">
        <v>53</v>
      </c>
      <c r="P9" s="25" t="s">
        <v>52</v>
      </c>
      <c r="Q9" s="25" t="s">
        <v>51</v>
      </c>
      <c r="R9" s="25" t="s">
        <v>51</v>
      </c>
      <c r="S9" s="25" t="s">
        <v>52</v>
      </c>
      <c r="T9" s="25" t="s">
        <v>51</v>
      </c>
      <c r="U9" s="25" t="s">
        <v>53</v>
      </c>
      <c r="V9" s="25" t="s">
        <v>50</v>
      </c>
      <c r="W9" s="25"/>
      <c r="X9" s="25" t="s">
        <v>50</v>
      </c>
      <c r="Y9" s="25" t="s">
        <v>51</v>
      </c>
      <c r="Z9" s="25" t="s">
        <v>51</v>
      </c>
      <c r="AA9" s="25" t="s">
        <v>50</v>
      </c>
      <c r="AB9" s="25" t="s">
        <v>51</v>
      </c>
      <c r="AC9" s="25" t="s">
        <v>52</v>
      </c>
      <c r="AD9" s="25" t="s">
        <v>51</v>
      </c>
      <c r="AE9" s="25" t="s">
        <v>52</v>
      </c>
      <c r="AF9" s="25" t="s">
        <v>51</v>
      </c>
      <c r="AG9" s="25" t="s">
        <v>50</v>
      </c>
      <c r="AH9" s="25" t="s">
        <v>51</v>
      </c>
      <c r="AI9" s="25" t="s">
        <v>52</v>
      </c>
      <c r="AJ9" s="25" t="s">
        <v>52</v>
      </c>
      <c r="AK9" s="25" t="s">
        <v>52</v>
      </c>
      <c r="AL9" s="25" t="s">
        <v>52</v>
      </c>
      <c r="AM9" s="25" t="s">
        <v>53</v>
      </c>
      <c r="AN9" s="25" t="s">
        <v>51</v>
      </c>
      <c r="AO9" s="25" t="s">
        <v>52</v>
      </c>
      <c r="AP9" s="25" t="s">
        <v>53</v>
      </c>
      <c r="AQ9" s="25" t="s">
        <v>53</v>
      </c>
      <c r="AR9" s="25" t="s">
        <v>53</v>
      </c>
    </row>
    <row r="10" customFormat="false" ht="15" hidden="false" customHeight="true" outlineLevel="0" collapsed="false">
      <c r="A10" s="16" t="n">
        <v>5</v>
      </c>
      <c r="B10" s="25" t="s">
        <v>118</v>
      </c>
      <c r="C10" s="18" t="str">
        <f aca="false">KELAS</f>
        <v>IX G</v>
      </c>
      <c r="D10" s="26" t="s">
        <v>119</v>
      </c>
      <c r="E10" s="25" t="s">
        <v>50</v>
      </c>
      <c r="F10" s="25" t="s">
        <v>51</v>
      </c>
      <c r="G10" s="25" t="s">
        <v>52</v>
      </c>
      <c r="H10" s="25"/>
      <c r="I10" s="25" t="s">
        <v>53</v>
      </c>
      <c r="J10" s="25" t="s">
        <v>52</v>
      </c>
      <c r="K10" s="25" t="s">
        <v>53</v>
      </c>
      <c r="L10" s="25" t="s">
        <v>51</v>
      </c>
      <c r="M10" s="25" t="s">
        <v>51</v>
      </c>
      <c r="N10" s="25" t="s">
        <v>53</v>
      </c>
      <c r="O10" s="25" t="s">
        <v>53</v>
      </c>
      <c r="P10" s="25" t="s">
        <v>53</v>
      </c>
      <c r="Q10" s="25" t="s">
        <v>51</v>
      </c>
      <c r="R10" s="25" t="s">
        <v>50</v>
      </c>
      <c r="S10" s="25" t="s">
        <v>52</v>
      </c>
      <c r="T10" s="25" t="s">
        <v>53</v>
      </c>
      <c r="U10" s="25" t="s">
        <v>53</v>
      </c>
      <c r="V10" s="25" t="s">
        <v>50</v>
      </c>
      <c r="W10" s="25" t="s">
        <v>53</v>
      </c>
      <c r="X10" s="25" t="s">
        <v>52</v>
      </c>
      <c r="Y10" s="25" t="s">
        <v>51</v>
      </c>
      <c r="Z10" s="25" t="s">
        <v>51</v>
      </c>
      <c r="AA10" s="25" t="s">
        <v>50</v>
      </c>
      <c r="AB10" s="25" t="s">
        <v>53</v>
      </c>
      <c r="AC10" s="25" t="s">
        <v>51</v>
      </c>
      <c r="AD10" s="25" t="s">
        <v>53</v>
      </c>
      <c r="AE10" s="25" t="s">
        <v>53</v>
      </c>
      <c r="AF10" s="25" t="s">
        <v>52</v>
      </c>
      <c r="AG10" s="25" t="s">
        <v>51</v>
      </c>
      <c r="AH10" s="25" t="s">
        <v>51</v>
      </c>
      <c r="AI10" s="25" t="s">
        <v>52</v>
      </c>
      <c r="AJ10" s="25" t="s">
        <v>52</v>
      </c>
      <c r="AK10" s="25" t="s">
        <v>51</v>
      </c>
      <c r="AL10" s="25" t="s">
        <v>52</v>
      </c>
      <c r="AM10" s="25" t="s">
        <v>50</v>
      </c>
      <c r="AN10" s="25" t="s">
        <v>52</v>
      </c>
      <c r="AO10" s="25" t="s">
        <v>52</v>
      </c>
      <c r="AP10" s="25" t="s">
        <v>52</v>
      </c>
      <c r="AQ10" s="25" t="s">
        <v>52</v>
      </c>
      <c r="AR10" s="25" t="s">
        <v>53</v>
      </c>
    </row>
    <row r="11" customFormat="false" ht="15" hidden="false" customHeight="true" outlineLevel="0" collapsed="false">
      <c r="A11" s="16" t="n">
        <v>6</v>
      </c>
      <c r="B11" s="25" t="s">
        <v>120</v>
      </c>
      <c r="C11" s="18" t="str">
        <f aca="false">KELAS</f>
        <v>IX G</v>
      </c>
      <c r="D11" s="26" t="s">
        <v>121</v>
      </c>
      <c r="E11" s="25" t="s">
        <v>53</v>
      </c>
      <c r="F11" s="25" t="s">
        <v>53</v>
      </c>
      <c r="G11" s="25" t="s">
        <v>53</v>
      </c>
      <c r="H11" s="25" t="s">
        <v>50</v>
      </c>
      <c r="I11" s="25"/>
      <c r="J11" s="25" t="s">
        <v>53</v>
      </c>
      <c r="K11" s="25" t="s">
        <v>52</v>
      </c>
      <c r="L11" s="25" t="s">
        <v>51</v>
      </c>
      <c r="M11" s="25" t="s">
        <v>51</v>
      </c>
      <c r="N11" s="25" t="s">
        <v>53</v>
      </c>
      <c r="O11" s="25" t="s">
        <v>53</v>
      </c>
      <c r="P11" s="25" t="s">
        <v>51</v>
      </c>
      <c r="Q11" s="25" t="s">
        <v>51</v>
      </c>
      <c r="R11" s="25" t="s">
        <v>50</v>
      </c>
      <c r="S11" s="25" t="s">
        <v>52</v>
      </c>
      <c r="T11" s="25" t="s">
        <v>51</v>
      </c>
      <c r="U11" s="25" t="s">
        <v>50</v>
      </c>
      <c r="V11" s="25" t="s">
        <v>50</v>
      </c>
      <c r="W11" s="25" t="s">
        <v>53</v>
      </c>
      <c r="X11" s="25" t="s">
        <v>52</v>
      </c>
      <c r="Y11" s="25" t="s">
        <v>51</v>
      </c>
      <c r="Z11" s="25" t="s">
        <v>51</v>
      </c>
      <c r="AA11" s="25" t="s">
        <v>50</v>
      </c>
      <c r="AB11" s="25" t="s">
        <v>53</v>
      </c>
      <c r="AC11" s="25" t="s">
        <v>50</v>
      </c>
      <c r="AD11" s="25" t="s">
        <v>53</v>
      </c>
      <c r="AE11" s="25" t="s">
        <v>53</v>
      </c>
      <c r="AF11" s="25" t="s">
        <v>53</v>
      </c>
      <c r="AG11" s="25" t="s">
        <v>51</v>
      </c>
      <c r="AH11" s="25" t="s">
        <v>51</v>
      </c>
      <c r="AI11" s="25" t="s">
        <v>52</v>
      </c>
      <c r="AJ11" s="25" t="s">
        <v>52</v>
      </c>
      <c r="AK11" s="25" t="s">
        <v>52</v>
      </c>
      <c r="AL11" s="25" t="s">
        <v>51</v>
      </c>
      <c r="AM11" s="25" t="s">
        <v>50</v>
      </c>
      <c r="AN11" s="25" t="s">
        <v>52</v>
      </c>
      <c r="AO11" s="25" t="s">
        <v>52</v>
      </c>
      <c r="AP11" s="25" t="s">
        <v>52</v>
      </c>
      <c r="AQ11" s="25" t="s">
        <v>51</v>
      </c>
      <c r="AR11" s="25" t="s">
        <v>51</v>
      </c>
    </row>
    <row r="12" customFormat="false" ht="15" hidden="false" customHeight="true" outlineLevel="0" collapsed="false">
      <c r="A12" s="16" t="n">
        <v>7</v>
      </c>
      <c r="B12" s="25" t="s">
        <v>122</v>
      </c>
      <c r="C12" s="18" t="str">
        <f aca="false">KELAS</f>
        <v>IX G</v>
      </c>
      <c r="D12" s="26" t="s">
        <v>123</v>
      </c>
      <c r="E12" s="25" t="s">
        <v>50</v>
      </c>
      <c r="F12" s="25" t="s">
        <v>50</v>
      </c>
      <c r="G12" s="25" t="s">
        <v>52</v>
      </c>
      <c r="H12" s="25" t="s">
        <v>50</v>
      </c>
      <c r="I12" s="25" t="s">
        <v>51</v>
      </c>
      <c r="J12" s="25" t="s">
        <v>53</v>
      </c>
      <c r="K12" s="25" t="s">
        <v>52</v>
      </c>
      <c r="L12" s="25" t="s">
        <v>51</v>
      </c>
      <c r="M12" s="25" t="s">
        <v>51</v>
      </c>
      <c r="N12" s="25" t="s">
        <v>53</v>
      </c>
      <c r="O12" s="25" t="s">
        <v>51</v>
      </c>
      <c r="P12" s="25" t="s">
        <v>51</v>
      </c>
      <c r="Q12" s="25" t="s">
        <v>51</v>
      </c>
      <c r="R12" s="25" t="s">
        <v>51</v>
      </c>
      <c r="S12" s="25" t="s">
        <v>53</v>
      </c>
      <c r="T12" s="25" t="s">
        <v>51</v>
      </c>
      <c r="U12" s="25" t="s">
        <v>52</v>
      </c>
      <c r="V12" s="25" t="s">
        <v>51</v>
      </c>
      <c r="W12" s="25" t="s">
        <v>53</v>
      </c>
      <c r="X12" s="25" t="s">
        <v>50</v>
      </c>
      <c r="Y12" s="25" t="s">
        <v>51</v>
      </c>
      <c r="Z12" s="25" t="s">
        <v>53</v>
      </c>
      <c r="AA12" s="25" t="s">
        <v>50</v>
      </c>
      <c r="AB12" s="25" t="s">
        <v>53</v>
      </c>
      <c r="AC12" s="25" t="s">
        <v>51</v>
      </c>
      <c r="AD12" s="25" t="s">
        <v>50</v>
      </c>
      <c r="AE12" s="25" t="s">
        <v>53</v>
      </c>
      <c r="AF12" s="25" t="s">
        <v>51</v>
      </c>
      <c r="AG12" s="25" t="s">
        <v>53</v>
      </c>
      <c r="AH12" s="25" t="s">
        <v>51</v>
      </c>
      <c r="AI12" s="25" t="s">
        <v>51</v>
      </c>
      <c r="AJ12" s="25" t="s">
        <v>52</v>
      </c>
      <c r="AK12" s="25" t="s">
        <v>51</v>
      </c>
      <c r="AL12" s="25" t="s">
        <v>51</v>
      </c>
      <c r="AM12" s="25" t="s">
        <v>50</v>
      </c>
      <c r="AN12" s="25" t="s">
        <v>52</v>
      </c>
      <c r="AO12" s="25" t="s">
        <v>53</v>
      </c>
      <c r="AP12" s="25" t="s">
        <v>52</v>
      </c>
      <c r="AQ12" s="25" t="s">
        <v>51</v>
      </c>
      <c r="AR12" s="25" t="s">
        <v>53</v>
      </c>
    </row>
    <row r="13" customFormat="false" ht="15" hidden="false" customHeight="true" outlineLevel="0" collapsed="false">
      <c r="A13" s="16" t="n">
        <v>8</v>
      </c>
      <c r="B13" s="25" t="s">
        <v>124</v>
      </c>
      <c r="C13" s="18" t="str">
        <f aca="false">KELAS</f>
        <v>IX G</v>
      </c>
      <c r="D13" s="26" t="s">
        <v>125</v>
      </c>
      <c r="E13" s="25"/>
      <c r="F13" s="25" t="s">
        <v>52</v>
      </c>
      <c r="G13" s="25" t="s">
        <v>53</v>
      </c>
      <c r="H13" s="25" t="s">
        <v>52</v>
      </c>
      <c r="I13" s="25" t="s">
        <v>53</v>
      </c>
      <c r="J13" s="25"/>
      <c r="K13" s="25" t="s">
        <v>52</v>
      </c>
      <c r="L13" s="25" t="s">
        <v>51</v>
      </c>
      <c r="M13" s="25" t="s">
        <v>50</v>
      </c>
      <c r="N13" s="25" t="s">
        <v>50</v>
      </c>
      <c r="O13" s="25" t="s">
        <v>52</v>
      </c>
      <c r="P13" s="25" t="s">
        <v>50</v>
      </c>
      <c r="Q13" s="25" t="s">
        <v>51</v>
      </c>
      <c r="R13" s="25" t="s">
        <v>50</v>
      </c>
      <c r="S13" s="25" t="s">
        <v>51</v>
      </c>
      <c r="T13" s="25" t="s">
        <v>52</v>
      </c>
      <c r="U13" s="25" t="s">
        <v>53</v>
      </c>
      <c r="V13" s="25" t="s">
        <v>50</v>
      </c>
      <c r="W13" s="25" t="s">
        <v>53</v>
      </c>
      <c r="X13" s="25" t="s">
        <v>52</v>
      </c>
      <c r="Y13" s="25" t="s">
        <v>51</v>
      </c>
      <c r="Z13" s="25" t="s">
        <v>53</v>
      </c>
      <c r="AA13" s="25" t="s">
        <v>53</v>
      </c>
      <c r="AB13" s="25" t="s">
        <v>50</v>
      </c>
      <c r="AC13" s="25" t="s">
        <v>51</v>
      </c>
      <c r="AD13" s="25" t="s">
        <v>51</v>
      </c>
      <c r="AE13" s="25" t="s">
        <v>52</v>
      </c>
      <c r="AF13" s="25" t="s">
        <v>52</v>
      </c>
      <c r="AG13" s="25" t="s">
        <v>52</v>
      </c>
      <c r="AH13" s="25" t="s">
        <v>51</v>
      </c>
      <c r="AI13" s="25" t="s">
        <v>51</v>
      </c>
      <c r="AJ13" s="25" t="s">
        <v>51</v>
      </c>
      <c r="AK13" s="25" t="s">
        <v>51</v>
      </c>
      <c r="AL13" s="25" t="s">
        <v>51</v>
      </c>
      <c r="AM13" s="25" t="s">
        <v>50</v>
      </c>
      <c r="AN13" s="25" t="s">
        <v>52</v>
      </c>
      <c r="AO13" s="25" t="s">
        <v>52</v>
      </c>
      <c r="AP13" s="25" t="s">
        <v>53</v>
      </c>
      <c r="AQ13" s="25" t="s">
        <v>50</v>
      </c>
      <c r="AR13" s="25" t="s">
        <v>53</v>
      </c>
    </row>
    <row r="14" customFormat="false" ht="15" hidden="false" customHeight="true" outlineLevel="0" collapsed="false">
      <c r="A14" s="16" t="n">
        <v>9</v>
      </c>
      <c r="B14" s="25" t="s">
        <v>126</v>
      </c>
      <c r="C14" s="18" t="str">
        <f aca="false">KELAS</f>
        <v>IX G</v>
      </c>
      <c r="D14" s="26" t="s">
        <v>127</v>
      </c>
      <c r="E14" s="25" t="s">
        <v>50</v>
      </c>
      <c r="F14" s="25" t="s">
        <v>51</v>
      </c>
      <c r="G14" s="25" t="s">
        <v>52</v>
      </c>
      <c r="H14" s="25" t="s">
        <v>51</v>
      </c>
      <c r="I14" s="25" t="s">
        <v>53</v>
      </c>
      <c r="J14" s="25"/>
      <c r="K14" s="25" t="s">
        <v>53</v>
      </c>
      <c r="L14" s="25" t="s">
        <v>50</v>
      </c>
      <c r="M14" s="25" t="s">
        <v>52</v>
      </c>
      <c r="N14" s="25" t="s">
        <v>52</v>
      </c>
      <c r="O14" s="25" t="s">
        <v>50</v>
      </c>
      <c r="P14" s="25" t="s">
        <v>53</v>
      </c>
      <c r="Q14" s="25" t="s">
        <v>51</v>
      </c>
      <c r="R14" s="25" t="s">
        <v>51</v>
      </c>
      <c r="S14" s="25" t="s">
        <v>52</v>
      </c>
      <c r="T14" s="25" t="s">
        <v>50</v>
      </c>
      <c r="U14" s="25" t="s">
        <v>52</v>
      </c>
      <c r="V14" s="25"/>
      <c r="W14" s="25" t="s">
        <v>53</v>
      </c>
      <c r="X14" s="25" t="s">
        <v>52</v>
      </c>
      <c r="Y14" s="25" t="s">
        <v>50</v>
      </c>
      <c r="Z14" s="25" t="s">
        <v>53</v>
      </c>
      <c r="AA14" s="25" t="s">
        <v>50</v>
      </c>
      <c r="AB14" s="25" t="s">
        <v>52</v>
      </c>
      <c r="AC14" s="25" t="s">
        <v>51</v>
      </c>
      <c r="AD14" s="25" t="s">
        <v>52</v>
      </c>
      <c r="AE14" s="25" t="s">
        <v>50</v>
      </c>
      <c r="AF14" s="25"/>
      <c r="AG14" s="25" t="s">
        <v>51</v>
      </c>
      <c r="AH14" s="25" t="s">
        <v>51</v>
      </c>
      <c r="AI14" s="25" t="s">
        <v>52</v>
      </c>
      <c r="AJ14" s="25" t="s">
        <v>52</v>
      </c>
      <c r="AK14" s="25" t="s">
        <v>51</v>
      </c>
      <c r="AL14" s="25" t="s">
        <v>51</v>
      </c>
      <c r="AM14" s="25" t="s">
        <v>51</v>
      </c>
      <c r="AN14" s="25" t="s">
        <v>51</v>
      </c>
      <c r="AO14" s="25" t="s">
        <v>52</v>
      </c>
      <c r="AP14" s="25" t="s">
        <v>52</v>
      </c>
      <c r="AQ14" s="25" t="s">
        <v>50</v>
      </c>
      <c r="AR14" s="25" t="s">
        <v>53</v>
      </c>
    </row>
    <row r="15" customFormat="false" ht="15" hidden="false" customHeight="true" outlineLevel="0" collapsed="false">
      <c r="A15" s="16" t="n">
        <v>10</v>
      </c>
      <c r="B15" s="25" t="s">
        <v>128</v>
      </c>
      <c r="C15" s="18" t="str">
        <f aca="false">KELAS</f>
        <v>IX G</v>
      </c>
      <c r="D15" s="26" t="s">
        <v>129</v>
      </c>
      <c r="E15" s="25" t="s">
        <v>50</v>
      </c>
      <c r="F15" s="25" t="s">
        <v>51</v>
      </c>
      <c r="G15" s="25" t="s">
        <v>52</v>
      </c>
      <c r="H15" s="25" t="s">
        <v>50</v>
      </c>
      <c r="I15" s="25" t="s">
        <v>53</v>
      </c>
      <c r="J15" s="25" t="s">
        <v>52</v>
      </c>
      <c r="K15" s="25" t="s">
        <v>51</v>
      </c>
      <c r="L15" s="25" t="s">
        <v>53</v>
      </c>
      <c r="M15" s="25" t="s">
        <v>50</v>
      </c>
      <c r="N15" s="25" t="s">
        <v>51</v>
      </c>
      <c r="O15" s="25" t="s">
        <v>51</v>
      </c>
      <c r="P15" s="25" t="s">
        <v>53</v>
      </c>
      <c r="Q15" s="25" t="s">
        <v>51</v>
      </c>
      <c r="R15" s="25" t="s">
        <v>53</v>
      </c>
      <c r="S15" s="25" t="s">
        <v>53</v>
      </c>
      <c r="T15" s="25" t="s">
        <v>50</v>
      </c>
      <c r="U15" s="25" t="s">
        <v>52</v>
      </c>
      <c r="V15" s="25" t="s">
        <v>51</v>
      </c>
      <c r="W15" s="25" t="s">
        <v>53</v>
      </c>
      <c r="X15" s="25" t="s">
        <v>52</v>
      </c>
      <c r="Y15" s="25" t="s">
        <v>53</v>
      </c>
      <c r="Z15" s="25" t="s">
        <v>53</v>
      </c>
      <c r="AA15" s="25" t="s">
        <v>52</v>
      </c>
      <c r="AB15" s="25" t="s">
        <v>53</v>
      </c>
      <c r="AC15" s="25" t="s">
        <v>51</v>
      </c>
      <c r="AD15" s="25" t="s">
        <v>50</v>
      </c>
      <c r="AE15" s="25" t="s">
        <v>52</v>
      </c>
      <c r="AF15" s="25" t="s">
        <v>51</v>
      </c>
      <c r="AG15" s="25" t="s">
        <v>50</v>
      </c>
      <c r="AH15" s="25" t="s">
        <v>51</v>
      </c>
      <c r="AI15" s="25" t="s">
        <v>50</v>
      </c>
      <c r="AJ15" s="25" t="s">
        <v>52</v>
      </c>
      <c r="AK15" s="25" t="s">
        <v>51</v>
      </c>
      <c r="AL15" s="25" t="s">
        <v>52</v>
      </c>
      <c r="AM15" s="25" t="s">
        <v>50</v>
      </c>
      <c r="AN15" s="25" t="s">
        <v>52</v>
      </c>
      <c r="AO15" s="25" t="s">
        <v>50</v>
      </c>
      <c r="AP15" s="25" t="s">
        <v>52</v>
      </c>
      <c r="AQ15" s="25" t="s">
        <v>51</v>
      </c>
      <c r="AR15" s="25" t="s">
        <v>53</v>
      </c>
    </row>
    <row r="16" customFormat="false" ht="15" hidden="false" customHeight="true" outlineLevel="0" collapsed="false">
      <c r="A16" s="16" t="n">
        <v>11</v>
      </c>
      <c r="B16" s="25" t="s">
        <v>130</v>
      </c>
      <c r="C16" s="18" t="str">
        <f aca="false">KELAS</f>
        <v>IX G</v>
      </c>
      <c r="D16" s="26" t="s">
        <v>131</v>
      </c>
      <c r="E16" s="25" t="s">
        <v>50</v>
      </c>
      <c r="F16" s="25" t="s">
        <v>51</v>
      </c>
      <c r="G16" s="25" t="s">
        <v>51</v>
      </c>
      <c r="H16" s="25" t="s">
        <v>50</v>
      </c>
      <c r="I16" s="25" t="s">
        <v>50</v>
      </c>
      <c r="J16" s="25" t="s">
        <v>53</v>
      </c>
      <c r="K16" s="25" t="s">
        <v>52</v>
      </c>
      <c r="L16" s="25" t="s">
        <v>51</v>
      </c>
      <c r="M16" s="25" t="s">
        <v>50</v>
      </c>
      <c r="N16" s="25" t="s">
        <v>53</v>
      </c>
      <c r="O16" s="25" t="s">
        <v>51</v>
      </c>
      <c r="P16" s="25" t="s">
        <v>53</v>
      </c>
      <c r="Q16" s="25" t="s">
        <v>51</v>
      </c>
      <c r="R16" s="25" t="s">
        <v>50</v>
      </c>
      <c r="S16" s="25" t="s">
        <v>52</v>
      </c>
      <c r="T16" s="25" t="s">
        <v>53</v>
      </c>
      <c r="U16" s="25" t="s">
        <v>51</v>
      </c>
      <c r="V16" s="25" t="s">
        <v>50</v>
      </c>
      <c r="W16" s="25" t="s">
        <v>51</v>
      </c>
      <c r="X16" s="25" t="s">
        <v>52</v>
      </c>
      <c r="Y16" s="25" t="s">
        <v>51</v>
      </c>
      <c r="Z16" s="25" t="s">
        <v>51</v>
      </c>
      <c r="AA16" s="25" t="s">
        <v>50</v>
      </c>
      <c r="AB16" s="25" t="s">
        <v>53</v>
      </c>
      <c r="AC16" s="25" t="s">
        <v>51</v>
      </c>
      <c r="AD16" s="25" t="s">
        <v>53</v>
      </c>
      <c r="AE16" s="25" t="s">
        <v>53</v>
      </c>
      <c r="AF16" s="25" t="s">
        <v>52</v>
      </c>
      <c r="AG16" s="25" t="s">
        <v>51</v>
      </c>
      <c r="AH16" s="25"/>
      <c r="AI16" s="25" t="s">
        <v>50</v>
      </c>
      <c r="AJ16" s="25" t="s">
        <v>50</v>
      </c>
      <c r="AK16" s="25" t="s">
        <v>51</v>
      </c>
      <c r="AL16" s="25" t="s">
        <v>52</v>
      </c>
      <c r="AM16" s="25" t="s">
        <v>50</v>
      </c>
      <c r="AN16" s="25" t="s">
        <v>52</v>
      </c>
      <c r="AO16" s="25" t="s">
        <v>52</v>
      </c>
      <c r="AP16" s="25" t="s">
        <v>51</v>
      </c>
      <c r="AQ16" s="25" t="s">
        <v>51</v>
      </c>
      <c r="AR16" s="25" t="s">
        <v>53</v>
      </c>
    </row>
    <row r="17" customFormat="false" ht="15" hidden="false" customHeight="true" outlineLevel="0" collapsed="false">
      <c r="A17" s="16" t="n">
        <v>12</v>
      </c>
      <c r="B17" s="25" t="s">
        <v>132</v>
      </c>
      <c r="C17" s="18" t="str">
        <f aca="false">KELAS</f>
        <v>IX G</v>
      </c>
      <c r="D17" s="26" t="s">
        <v>133</v>
      </c>
      <c r="E17" s="25" t="s">
        <v>50</v>
      </c>
      <c r="F17" s="25" t="s">
        <v>51</v>
      </c>
      <c r="G17" s="25" t="s">
        <v>50</v>
      </c>
      <c r="H17" s="25" t="s">
        <v>50</v>
      </c>
      <c r="I17" s="25" t="s">
        <v>53</v>
      </c>
      <c r="J17" s="25" t="s">
        <v>53</v>
      </c>
      <c r="K17" s="25"/>
      <c r="L17" s="25" t="s">
        <v>51</v>
      </c>
      <c r="M17" s="25" t="s">
        <v>52</v>
      </c>
      <c r="N17" s="25" t="s">
        <v>53</v>
      </c>
      <c r="O17" s="25" t="s">
        <v>53</v>
      </c>
      <c r="P17" s="25" t="s">
        <v>53</v>
      </c>
      <c r="Q17" s="25" t="s">
        <v>50</v>
      </c>
      <c r="R17" s="25" t="s">
        <v>50</v>
      </c>
      <c r="S17" s="25" t="s">
        <v>51</v>
      </c>
      <c r="T17" s="25" t="s">
        <v>52</v>
      </c>
      <c r="U17" s="25"/>
      <c r="V17" s="25" t="s">
        <v>53</v>
      </c>
      <c r="W17" s="25" t="s">
        <v>50</v>
      </c>
      <c r="X17" s="25" t="s">
        <v>51</v>
      </c>
      <c r="Y17" s="25" t="s">
        <v>51</v>
      </c>
      <c r="Z17" s="25" t="s">
        <v>50</v>
      </c>
      <c r="AA17" s="25" t="s">
        <v>50</v>
      </c>
      <c r="AB17" s="25" t="s">
        <v>53</v>
      </c>
      <c r="AC17" s="25" t="s">
        <v>52</v>
      </c>
      <c r="AD17" s="25" t="s">
        <v>53</v>
      </c>
      <c r="AE17" s="25"/>
      <c r="AF17" s="25" t="s">
        <v>52</v>
      </c>
      <c r="AG17" s="25" t="s">
        <v>52</v>
      </c>
      <c r="AH17" s="25" t="s">
        <v>50</v>
      </c>
      <c r="AI17" s="25" t="s">
        <v>52</v>
      </c>
      <c r="AJ17" s="25" t="s">
        <v>52</v>
      </c>
      <c r="AK17" s="25" t="s">
        <v>51</v>
      </c>
      <c r="AL17" s="25" t="s">
        <v>52</v>
      </c>
      <c r="AM17" s="25" t="s">
        <v>50</v>
      </c>
      <c r="AN17" s="25" t="s">
        <v>52</v>
      </c>
      <c r="AO17" s="25" t="s">
        <v>50</v>
      </c>
      <c r="AP17" s="25" t="s">
        <v>52</v>
      </c>
      <c r="AQ17" s="25" t="s">
        <v>51</v>
      </c>
      <c r="AR17" s="25" t="s">
        <v>53</v>
      </c>
    </row>
    <row r="18" customFormat="false" ht="15" hidden="false" customHeight="true" outlineLevel="0" collapsed="false">
      <c r="A18" s="16" t="n">
        <v>13</v>
      </c>
      <c r="B18" s="25" t="s">
        <v>134</v>
      </c>
      <c r="C18" s="18" t="str">
        <f aca="false">KELAS</f>
        <v>IX G</v>
      </c>
      <c r="D18" s="26" t="s">
        <v>135</v>
      </c>
      <c r="E18" s="25" t="s">
        <v>50</v>
      </c>
      <c r="F18" s="25" t="s">
        <v>51</v>
      </c>
      <c r="G18" s="25" t="s">
        <v>51</v>
      </c>
      <c r="H18" s="25" t="s">
        <v>50</v>
      </c>
      <c r="I18" s="25" t="s">
        <v>53</v>
      </c>
      <c r="J18" s="25" t="s">
        <v>53</v>
      </c>
      <c r="K18" s="25" t="s">
        <v>52</v>
      </c>
      <c r="L18" s="25" t="s">
        <v>51</v>
      </c>
      <c r="M18" s="25"/>
      <c r="N18" s="25" t="s">
        <v>50</v>
      </c>
      <c r="O18" s="25" t="s">
        <v>53</v>
      </c>
      <c r="P18" s="25" t="s">
        <v>53</v>
      </c>
      <c r="Q18" s="25" t="s">
        <v>51</v>
      </c>
      <c r="R18" s="25" t="s">
        <v>52</v>
      </c>
      <c r="S18" s="25" t="s">
        <v>52</v>
      </c>
      <c r="T18" s="25" t="s">
        <v>53</v>
      </c>
      <c r="U18" s="25" t="s">
        <v>51</v>
      </c>
      <c r="V18" s="25" t="s">
        <v>50</v>
      </c>
      <c r="W18" s="25" t="s">
        <v>53</v>
      </c>
      <c r="X18" s="25" t="s">
        <v>52</v>
      </c>
      <c r="Y18" s="25" t="s">
        <v>51</v>
      </c>
      <c r="Z18" s="25" t="s">
        <v>51</v>
      </c>
      <c r="AA18" s="25"/>
      <c r="AB18" s="25" t="s">
        <v>53</v>
      </c>
      <c r="AC18" s="25" t="s">
        <v>51</v>
      </c>
      <c r="AD18" s="25" t="s">
        <v>53</v>
      </c>
      <c r="AE18" s="25" t="s">
        <v>53</v>
      </c>
      <c r="AF18" s="25" t="s">
        <v>53</v>
      </c>
      <c r="AG18" s="25" t="s">
        <v>51</v>
      </c>
      <c r="AH18" s="25" t="s">
        <v>51</v>
      </c>
      <c r="AI18" s="25" t="s">
        <v>53</v>
      </c>
      <c r="AJ18" s="25" t="s">
        <v>52</v>
      </c>
      <c r="AK18" s="25" t="s">
        <v>51</v>
      </c>
      <c r="AL18" s="25" t="s">
        <v>52</v>
      </c>
      <c r="AM18" s="25" t="s">
        <v>50</v>
      </c>
      <c r="AN18" s="25" t="s">
        <v>52</v>
      </c>
      <c r="AO18" s="25" t="s">
        <v>52</v>
      </c>
      <c r="AP18" s="25" t="s">
        <v>52</v>
      </c>
      <c r="AQ18" s="25" t="s">
        <v>50</v>
      </c>
      <c r="AR18" s="25" t="s">
        <v>53</v>
      </c>
    </row>
    <row r="19" customFormat="false" ht="15" hidden="false" customHeight="true" outlineLevel="0" collapsed="false">
      <c r="A19" s="16" t="n">
        <v>14</v>
      </c>
      <c r="B19" s="25" t="s">
        <v>136</v>
      </c>
      <c r="C19" s="18" t="str">
        <f aca="false">KELAS</f>
        <v>IX G</v>
      </c>
      <c r="D19" s="26" t="s">
        <v>137</v>
      </c>
      <c r="E19" s="25" t="s">
        <v>53</v>
      </c>
      <c r="F19" s="25" t="s">
        <v>51</v>
      </c>
      <c r="G19" s="25"/>
      <c r="H19" s="25" t="s">
        <v>53</v>
      </c>
      <c r="I19" s="25" t="s">
        <v>51</v>
      </c>
      <c r="J19" s="25"/>
      <c r="K19" s="25" t="s">
        <v>51</v>
      </c>
      <c r="L19" s="25" t="s">
        <v>53</v>
      </c>
      <c r="M19" s="25" t="s">
        <v>53</v>
      </c>
      <c r="N19" s="25" t="s">
        <v>53</v>
      </c>
      <c r="O19" s="25" t="s">
        <v>51</v>
      </c>
      <c r="P19" s="25" t="s">
        <v>52</v>
      </c>
      <c r="Q19" s="25" t="s">
        <v>51</v>
      </c>
      <c r="R19" s="25" t="s">
        <v>52</v>
      </c>
      <c r="S19" s="25" t="s">
        <v>50</v>
      </c>
      <c r="T19" s="25" t="s">
        <v>53</v>
      </c>
      <c r="U19" s="25" t="s">
        <v>52</v>
      </c>
      <c r="V19" s="25" t="s">
        <v>51</v>
      </c>
      <c r="W19" s="25" t="s">
        <v>51</v>
      </c>
      <c r="X19" s="25" t="s">
        <v>52</v>
      </c>
      <c r="Y19" s="25" t="s">
        <v>51</v>
      </c>
      <c r="Z19" s="25" t="s">
        <v>51</v>
      </c>
      <c r="AA19" s="25" t="s">
        <v>52</v>
      </c>
      <c r="AB19" s="25" t="s">
        <v>50</v>
      </c>
      <c r="AC19" s="25" t="s">
        <v>53</v>
      </c>
      <c r="AD19" s="25" t="s">
        <v>53</v>
      </c>
      <c r="AE19" s="25" t="s">
        <v>53</v>
      </c>
      <c r="AF19" s="25" t="s">
        <v>52</v>
      </c>
      <c r="AG19" s="25" t="s">
        <v>53</v>
      </c>
      <c r="AH19" s="25" t="s">
        <v>50</v>
      </c>
      <c r="AI19" s="25" t="s">
        <v>52</v>
      </c>
      <c r="AJ19" s="25" t="s">
        <v>52</v>
      </c>
      <c r="AK19" s="25" t="s">
        <v>51</v>
      </c>
      <c r="AL19" s="25" t="s">
        <v>50</v>
      </c>
      <c r="AM19" s="25" t="s">
        <v>52</v>
      </c>
      <c r="AN19" s="25" t="s">
        <v>51</v>
      </c>
      <c r="AO19" s="25" t="s">
        <v>51</v>
      </c>
      <c r="AP19" s="25"/>
      <c r="AQ19" s="25" t="s">
        <v>51</v>
      </c>
      <c r="AR19" s="25" t="s">
        <v>51</v>
      </c>
    </row>
    <row r="20" customFormat="false" ht="15" hidden="false" customHeight="true" outlineLevel="0" collapsed="false">
      <c r="A20" s="16" t="n">
        <v>15</v>
      </c>
      <c r="B20" s="25" t="s">
        <v>138</v>
      </c>
      <c r="C20" s="18" t="str">
        <f aca="false">KELAS</f>
        <v>IX G</v>
      </c>
      <c r="D20" s="26" t="s">
        <v>139</v>
      </c>
      <c r="E20" s="25" t="s">
        <v>50</v>
      </c>
      <c r="F20" s="25" t="s">
        <v>51</v>
      </c>
      <c r="G20" s="25" t="s">
        <v>52</v>
      </c>
      <c r="H20" s="25" t="s">
        <v>50</v>
      </c>
      <c r="I20" s="25" t="s">
        <v>53</v>
      </c>
      <c r="J20" s="25" t="s">
        <v>51</v>
      </c>
      <c r="K20" s="25" t="s">
        <v>52</v>
      </c>
      <c r="L20" s="25" t="s">
        <v>51</v>
      </c>
      <c r="M20" s="25" t="s">
        <v>51</v>
      </c>
      <c r="N20" s="25" t="s">
        <v>52</v>
      </c>
      <c r="O20" s="25" t="s">
        <v>53</v>
      </c>
      <c r="P20" s="25"/>
      <c r="Q20" s="25" t="s">
        <v>52</v>
      </c>
      <c r="R20" s="25" t="s">
        <v>53</v>
      </c>
      <c r="S20" s="25" t="s">
        <v>52</v>
      </c>
      <c r="T20" s="25" t="s">
        <v>52</v>
      </c>
      <c r="U20" s="25" t="s">
        <v>53</v>
      </c>
      <c r="V20" s="25" t="s">
        <v>53</v>
      </c>
      <c r="W20" s="25" t="s">
        <v>51</v>
      </c>
      <c r="X20" s="25" t="s">
        <v>50</v>
      </c>
      <c r="Y20" s="25" t="s">
        <v>53</v>
      </c>
      <c r="Z20" s="25" t="s">
        <v>51</v>
      </c>
      <c r="AA20" s="25" t="s">
        <v>50</v>
      </c>
      <c r="AB20" s="25" t="s">
        <v>53</v>
      </c>
      <c r="AC20" s="25" t="s">
        <v>53</v>
      </c>
      <c r="AD20" s="25" t="s">
        <v>51</v>
      </c>
      <c r="AE20" s="25" t="s">
        <v>53</v>
      </c>
      <c r="AF20" s="25" t="s">
        <v>51</v>
      </c>
      <c r="AG20" s="25" t="s">
        <v>51</v>
      </c>
      <c r="AH20" s="25" t="s">
        <v>50</v>
      </c>
      <c r="AI20" s="25" t="s">
        <v>52</v>
      </c>
      <c r="AJ20" s="25" t="s">
        <v>52</v>
      </c>
      <c r="AK20" s="25" t="s">
        <v>50</v>
      </c>
      <c r="AL20" s="25" t="s">
        <v>52</v>
      </c>
      <c r="AM20" s="25" t="s">
        <v>50</v>
      </c>
      <c r="AN20" s="25" t="s">
        <v>52</v>
      </c>
      <c r="AO20" s="25" t="s">
        <v>52</v>
      </c>
      <c r="AP20" s="25" t="s">
        <v>53</v>
      </c>
      <c r="AQ20" s="25" t="s">
        <v>50</v>
      </c>
      <c r="AR20" s="25" t="s">
        <v>53</v>
      </c>
    </row>
    <row r="21" customFormat="false" ht="15" hidden="false" customHeight="true" outlineLevel="0" collapsed="false">
      <c r="A21" s="16" t="n">
        <v>16</v>
      </c>
      <c r="B21" s="25" t="s">
        <v>140</v>
      </c>
      <c r="C21" s="18" t="str">
        <f aca="false">KELAS</f>
        <v>IX G</v>
      </c>
      <c r="D21" s="26" t="s">
        <v>141</v>
      </c>
      <c r="E21" s="25" t="s">
        <v>50</v>
      </c>
      <c r="F21" s="25" t="s">
        <v>50</v>
      </c>
      <c r="G21" s="25" t="s">
        <v>53</v>
      </c>
      <c r="H21" s="25" t="s">
        <v>50</v>
      </c>
      <c r="I21" s="25" t="s">
        <v>50</v>
      </c>
      <c r="J21" s="25" t="s">
        <v>53</v>
      </c>
      <c r="K21" s="25" t="s">
        <v>52</v>
      </c>
      <c r="L21" s="25" t="s">
        <v>51</v>
      </c>
      <c r="M21" s="25" t="s">
        <v>50</v>
      </c>
      <c r="N21" s="25" t="s">
        <v>53</v>
      </c>
      <c r="O21" s="25" t="s">
        <v>53</v>
      </c>
      <c r="P21" s="25" t="s">
        <v>53</v>
      </c>
      <c r="Q21" s="25"/>
      <c r="R21" s="25" t="s">
        <v>50</v>
      </c>
      <c r="S21" s="25" t="s">
        <v>52</v>
      </c>
      <c r="T21" s="25" t="s">
        <v>53</v>
      </c>
      <c r="U21" s="25" t="s">
        <v>51</v>
      </c>
      <c r="V21" s="25" t="s">
        <v>50</v>
      </c>
      <c r="W21" s="25" t="s">
        <v>53</v>
      </c>
      <c r="X21" s="25" t="s">
        <v>52</v>
      </c>
      <c r="Y21" s="25" t="s">
        <v>51</v>
      </c>
      <c r="Z21" s="25" t="s">
        <v>51</v>
      </c>
      <c r="AA21" s="25" t="s">
        <v>50</v>
      </c>
      <c r="AB21" s="25" t="s">
        <v>53</v>
      </c>
      <c r="AC21" s="25" t="s">
        <v>51</v>
      </c>
      <c r="AD21" s="25" t="s">
        <v>53</v>
      </c>
      <c r="AE21" s="25" t="s">
        <v>50</v>
      </c>
      <c r="AF21" s="25" t="s">
        <v>53</v>
      </c>
      <c r="AG21" s="25" t="s">
        <v>53</v>
      </c>
      <c r="AH21" s="25" t="s">
        <v>51</v>
      </c>
      <c r="AI21" s="25" t="s">
        <v>52</v>
      </c>
      <c r="AJ21" s="25" t="s">
        <v>52</v>
      </c>
      <c r="AK21" s="25" t="s">
        <v>51</v>
      </c>
      <c r="AL21" s="25" t="s">
        <v>52</v>
      </c>
      <c r="AM21" s="25" t="s">
        <v>50</v>
      </c>
      <c r="AN21" s="25" t="s">
        <v>52</v>
      </c>
      <c r="AO21" s="25" t="s">
        <v>51</v>
      </c>
      <c r="AP21" s="25" t="s">
        <v>53</v>
      </c>
      <c r="AQ21" s="25" t="s">
        <v>52</v>
      </c>
      <c r="AR21" s="25" t="s">
        <v>53</v>
      </c>
    </row>
    <row r="22" customFormat="false" ht="15" hidden="false" customHeight="true" outlineLevel="0" collapsed="false">
      <c r="A22" s="16" t="n">
        <v>17</v>
      </c>
      <c r="B22" s="25" t="s">
        <v>142</v>
      </c>
      <c r="C22" s="18" t="str">
        <f aca="false">KELAS</f>
        <v>IX G</v>
      </c>
      <c r="D22" s="26" t="s">
        <v>143</v>
      </c>
      <c r="E22" s="25" t="s">
        <v>52</v>
      </c>
      <c r="F22" s="25" t="s">
        <v>51</v>
      </c>
      <c r="G22" s="25" t="s">
        <v>52</v>
      </c>
      <c r="H22" s="25" t="s">
        <v>50</v>
      </c>
      <c r="I22" s="25" t="s">
        <v>53</v>
      </c>
      <c r="J22" s="25" t="s">
        <v>53</v>
      </c>
      <c r="K22" s="25" t="s">
        <v>52</v>
      </c>
      <c r="L22" s="25" t="s">
        <v>51</v>
      </c>
      <c r="M22" s="25" t="s">
        <v>51</v>
      </c>
      <c r="N22" s="25" t="s">
        <v>53</v>
      </c>
      <c r="O22" s="25" t="s">
        <v>53</v>
      </c>
      <c r="P22" s="25" t="s">
        <v>53</v>
      </c>
      <c r="Q22" s="25"/>
      <c r="R22" s="25" t="s">
        <v>50</v>
      </c>
      <c r="S22" s="25" t="s">
        <v>52</v>
      </c>
      <c r="T22" s="25" t="s">
        <v>53</v>
      </c>
      <c r="U22" s="25" t="s">
        <v>52</v>
      </c>
      <c r="V22" s="25" t="s">
        <v>50</v>
      </c>
      <c r="W22" s="25" t="s">
        <v>53</v>
      </c>
      <c r="X22" s="25" t="s">
        <v>52</v>
      </c>
      <c r="Y22" s="25" t="s">
        <v>50</v>
      </c>
      <c r="Z22" s="25" t="s">
        <v>53</v>
      </c>
      <c r="AA22" s="25" t="s">
        <v>50</v>
      </c>
      <c r="AB22" s="25" t="s">
        <v>53</v>
      </c>
      <c r="AC22" s="25" t="s">
        <v>50</v>
      </c>
      <c r="AD22" s="25" t="s">
        <v>50</v>
      </c>
      <c r="AE22" s="25" t="s">
        <v>53</v>
      </c>
      <c r="AF22" s="25" t="s">
        <v>53</v>
      </c>
      <c r="AG22" s="25" t="s">
        <v>51</v>
      </c>
      <c r="AH22" s="25" t="s">
        <v>51</v>
      </c>
      <c r="AI22" s="25" t="s">
        <v>52</v>
      </c>
      <c r="AJ22" s="25" t="s">
        <v>52</v>
      </c>
      <c r="AK22" s="25" t="s">
        <v>52</v>
      </c>
      <c r="AL22" s="25" t="s">
        <v>52</v>
      </c>
      <c r="AM22" s="25" t="s">
        <v>50</v>
      </c>
      <c r="AN22" s="25" t="s">
        <v>50</v>
      </c>
      <c r="AO22" s="25" t="s">
        <v>52</v>
      </c>
      <c r="AP22" s="25" t="s">
        <v>52</v>
      </c>
      <c r="AQ22" s="25" t="s">
        <v>51</v>
      </c>
      <c r="AR22" s="25" t="s">
        <v>53</v>
      </c>
    </row>
    <row r="23" customFormat="false" ht="15" hidden="false" customHeight="true" outlineLevel="0" collapsed="false">
      <c r="A23" s="16" t="n">
        <v>18</v>
      </c>
      <c r="B23" s="25" t="s">
        <v>144</v>
      </c>
      <c r="C23" s="18" t="str">
        <f aca="false">KELAS</f>
        <v>IX G</v>
      </c>
      <c r="D23" s="26" t="s">
        <v>145</v>
      </c>
      <c r="E23" s="25" t="s">
        <v>52</v>
      </c>
      <c r="F23" s="25" t="s">
        <v>51</v>
      </c>
      <c r="G23" s="25" t="s">
        <v>52</v>
      </c>
      <c r="H23" s="25" t="s">
        <v>50</v>
      </c>
      <c r="I23" s="25" t="s">
        <v>53</v>
      </c>
      <c r="J23" s="25" t="s">
        <v>53</v>
      </c>
      <c r="K23" s="25" t="s">
        <v>52</v>
      </c>
      <c r="L23" s="25" t="s">
        <v>51</v>
      </c>
      <c r="M23" s="25" t="s">
        <v>52</v>
      </c>
      <c r="N23" s="25" t="s">
        <v>53</v>
      </c>
      <c r="O23" s="25" t="s">
        <v>53</v>
      </c>
      <c r="P23" s="25" t="s">
        <v>53</v>
      </c>
      <c r="Q23" s="25" t="s">
        <v>50</v>
      </c>
      <c r="R23" s="25" t="s">
        <v>50</v>
      </c>
      <c r="S23" s="25" t="s">
        <v>52</v>
      </c>
      <c r="T23" s="25" t="s">
        <v>53</v>
      </c>
      <c r="U23" s="25" t="s">
        <v>53</v>
      </c>
      <c r="V23" s="25" t="s">
        <v>51</v>
      </c>
      <c r="W23" s="25" t="s">
        <v>53</v>
      </c>
      <c r="X23" s="25" t="s">
        <v>52</v>
      </c>
      <c r="Y23" s="25" t="s">
        <v>51</v>
      </c>
      <c r="Z23" s="25" t="s">
        <v>51</v>
      </c>
      <c r="AA23" s="25"/>
      <c r="AB23" s="25" t="s">
        <v>53</v>
      </c>
      <c r="AC23" s="25" t="s">
        <v>52</v>
      </c>
      <c r="AD23" s="25" t="s">
        <v>53</v>
      </c>
      <c r="AE23" s="25" t="s">
        <v>53</v>
      </c>
      <c r="AF23" s="25" t="s">
        <v>50</v>
      </c>
      <c r="AG23" s="25" t="s">
        <v>51</v>
      </c>
      <c r="AH23" s="25" t="s">
        <v>51</v>
      </c>
      <c r="AI23" s="25" t="s">
        <v>52</v>
      </c>
      <c r="AJ23" s="25" t="s">
        <v>50</v>
      </c>
      <c r="AK23" s="25" t="s">
        <v>51</v>
      </c>
      <c r="AL23" s="25" t="s">
        <v>52</v>
      </c>
      <c r="AM23" s="25" t="s">
        <v>50</v>
      </c>
      <c r="AN23" s="25" t="s">
        <v>52</v>
      </c>
      <c r="AO23" s="25" t="s">
        <v>52</v>
      </c>
      <c r="AP23" s="25" t="s">
        <v>52</v>
      </c>
      <c r="AQ23" s="25" t="s">
        <v>53</v>
      </c>
      <c r="AR23" s="25" t="s">
        <v>53</v>
      </c>
    </row>
    <row r="24" customFormat="false" ht="15" hidden="false" customHeight="true" outlineLevel="0" collapsed="false">
      <c r="A24" s="16" t="n">
        <v>19</v>
      </c>
      <c r="B24" s="25" t="s">
        <v>146</v>
      </c>
      <c r="C24" s="18" t="str">
        <f aca="false">KELAS</f>
        <v>IX G</v>
      </c>
      <c r="D24" s="26" t="s">
        <v>147</v>
      </c>
      <c r="E24" s="25" t="s">
        <v>51</v>
      </c>
      <c r="F24" s="25" t="s">
        <v>50</v>
      </c>
      <c r="G24" s="25" t="s">
        <v>52</v>
      </c>
      <c r="H24" s="25"/>
      <c r="I24" s="25" t="s">
        <v>53</v>
      </c>
      <c r="J24" s="25" t="s">
        <v>53</v>
      </c>
      <c r="K24" s="25" t="s">
        <v>51</v>
      </c>
      <c r="L24" s="25" t="s">
        <v>51</v>
      </c>
      <c r="M24" s="25" t="s">
        <v>52</v>
      </c>
      <c r="N24" s="25"/>
      <c r="O24" s="25" t="s">
        <v>53</v>
      </c>
      <c r="P24" s="25" t="s">
        <v>53</v>
      </c>
      <c r="Q24" s="25" t="s">
        <v>51</v>
      </c>
      <c r="R24" s="25" t="s">
        <v>50</v>
      </c>
      <c r="S24" s="25" t="s">
        <v>51</v>
      </c>
      <c r="T24" s="25" t="s">
        <v>53</v>
      </c>
      <c r="U24" s="25" t="s">
        <v>52</v>
      </c>
      <c r="V24" s="25" t="s">
        <v>53</v>
      </c>
      <c r="W24" s="25" t="s">
        <v>51</v>
      </c>
      <c r="X24" s="25" t="s">
        <v>50</v>
      </c>
      <c r="Y24" s="25" t="s">
        <v>52</v>
      </c>
      <c r="Z24" s="25"/>
      <c r="AA24" s="25" t="s">
        <v>50</v>
      </c>
      <c r="AB24" s="25" t="s">
        <v>53</v>
      </c>
      <c r="AC24" s="25" t="s">
        <v>51</v>
      </c>
      <c r="AD24" s="25" t="s">
        <v>53</v>
      </c>
      <c r="AE24" s="25" t="s">
        <v>52</v>
      </c>
      <c r="AF24" s="25"/>
      <c r="AG24" s="25" t="s">
        <v>53</v>
      </c>
      <c r="AH24" s="25" t="s">
        <v>51</v>
      </c>
      <c r="AI24" s="25" t="s">
        <v>52</v>
      </c>
      <c r="AJ24" s="25" t="s">
        <v>53</v>
      </c>
      <c r="AK24" s="25" t="s">
        <v>51</v>
      </c>
      <c r="AL24" s="25" t="s">
        <v>52</v>
      </c>
      <c r="AM24" s="25" t="s">
        <v>51</v>
      </c>
      <c r="AN24" s="25" t="s">
        <v>52</v>
      </c>
      <c r="AO24" s="25" t="s">
        <v>50</v>
      </c>
      <c r="AP24" s="25" t="s">
        <v>52</v>
      </c>
      <c r="AQ24" s="25" t="s">
        <v>51</v>
      </c>
      <c r="AR24" s="25" t="s">
        <v>53</v>
      </c>
    </row>
    <row r="25" customFormat="false" ht="15" hidden="false" customHeight="true" outlineLevel="0" collapsed="false">
      <c r="A25" s="16" t="n">
        <v>20</v>
      </c>
      <c r="B25" s="25" t="s">
        <v>148</v>
      </c>
      <c r="C25" s="18" t="str">
        <f aca="false">KELAS</f>
        <v>IX G</v>
      </c>
      <c r="D25" s="26" t="s">
        <v>149</v>
      </c>
      <c r="E25" s="25" t="s">
        <v>50</v>
      </c>
      <c r="F25" s="25" t="s">
        <v>51</v>
      </c>
      <c r="G25" s="25" t="s">
        <v>52</v>
      </c>
      <c r="H25" s="25" t="s">
        <v>50</v>
      </c>
      <c r="I25" s="25" t="s">
        <v>53</v>
      </c>
      <c r="J25" s="25" t="s">
        <v>52</v>
      </c>
      <c r="K25" s="25" t="s">
        <v>52</v>
      </c>
      <c r="L25" s="25" t="s">
        <v>51</v>
      </c>
      <c r="M25" s="25" t="s">
        <v>52</v>
      </c>
      <c r="N25" s="25" t="s">
        <v>50</v>
      </c>
      <c r="O25" s="25" t="s">
        <v>53</v>
      </c>
      <c r="P25" s="25" t="s">
        <v>53</v>
      </c>
      <c r="Q25" s="25" t="s">
        <v>51</v>
      </c>
      <c r="R25" s="25" t="s">
        <v>52</v>
      </c>
      <c r="S25" s="25" t="s">
        <v>52</v>
      </c>
      <c r="T25" s="25" t="s">
        <v>53</v>
      </c>
      <c r="U25" s="25" t="s">
        <v>53</v>
      </c>
      <c r="V25" s="25" t="s">
        <v>50</v>
      </c>
      <c r="W25" s="25" t="s">
        <v>51</v>
      </c>
      <c r="X25" s="25" t="s">
        <v>52</v>
      </c>
      <c r="Y25" s="25" t="s">
        <v>51</v>
      </c>
      <c r="Z25" s="25" t="s">
        <v>53</v>
      </c>
      <c r="AA25" s="25" t="s">
        <v>50</v>
      </c>
      <c r="AB25" s="25" t="s">
        <v>50</v>
      </c>
      <c r="AC25" s="25" t="s">
        <v>51</v>
      </c>
      <c r="AD25" s="25" t="s">
        <v>53</v>
      </c>
      <c r="AE25" s="25" t="s">
        <v>53</v>
      </c>
      <c r="AF25" s="25" t="s">
        <v>53</v>
      </c>
      <c r="AG25" s="25" t="s">
        <v>51</v>
      </c>
      <c r="AH25" s="25" t="s">
        <v>51</v>
      </c>
      <c r="AI25" s="25" t="s">
        <v>52</v>
      </c>
      <c r="AJ25" s="25" t="s">
        <v>52</v>
      </c>
      <c r="AK25" s="25" t="s">
        <v>53</v>
      </c>
      <c r="AL25" s="25" t="s">
        <v>51</v>
      </c>
      <c r="AM25" s="25" t="s">
        <v>50</v>
      </c>
      <c r="AN25" s="25" t="s">
        <v>52</v>
      </c>
      <c r="AO25" s="25" t="s">
        <v>52</v>
      </c>
      <c r="AP25" s="25" t="s">
        <v>52</v>
      </c>
      <c r="AQ25" s="25" t="s">
        <v>51</v>
      </c>
      <c r="AR25" s="25" t="s">
        <v>53</v>
      </c>
    </row>
    <row r="26" customFormat="false" ht="15" hidden="false" customHeight="true" outlineLevel="0" collapsed="false">
      <c r="A26" s="16" t="n">
        <v>21</v>
      </c>
      <c r="B26" s="25" t="s">
        <v>150</v>
      </c>
      <c r="C26" s="18" t="str">
        <f aca="false">KELAS</f>
        <v>IX G</v>
      </c>
      <c r="D26" s="26" t="s">
        <v>151</v>
      </c>
      <c r="E26" s="25" t="s">
        <v>53</v>
      </c>
      <c r="F26" s="25" t="s">
        <v>51</v>
      </c>
      <c r="G26" s="25" t="s">
        <v>52</v>
      </c>
      <c r="H26" s="25" t="s">
        <v>50</v>
      </c>
      <c r="I26" s="25" t="s">
        <v>53</v>
      </c>
      <c r="J26" s="25" t="s">
        <v>53</v>
      </c>
      <c r="K26" s="25" t="s">
        <v>52</v>
      </c>
      <c r="L26" s="25" t="s">
        <v>52</v>
      </c>
      <c r="M26" s="25" t="s">
        <v>53</v>
      </c>
      <c r="N26" s="25" t="s">
        <v>53</v>
      </c>
      <c r="O26" s="25" t="s">
        <v>53</v>
      </c>
      <c r="P26" s="25" t="s">
        <v>53</v>
      </c>
      <c r="Q26" s="25" t="s">
        <v>51</v>
      </c>
      <c r="R26" s="25" t="s">
        <v>50</v>
      </c>
      <c r="S26" s="25" t="s">
        <v>51</v>
      </c>
      <c r="T26" s="25" t="s">
        <v>53</v>
      </c>
      <c r="U26" s="25" t="s">
        <v>53</v>
      </c>
      <c r="V26" s="25" t="s">
        <v>50</v>
      </c>
      <c r="W26" s="25" t="s">
        <v>53</v>
      </c>
      <c r="X26" s="25" t="s">
        <v>52</v>
      </c>
      <c r="Y26" s="25" t="s">
        <v>51</v>
      </c>
      <c r="Z26" s="25" t="s">
        <v>51</v>
      </c>
      <c r="AA26" s="25" t="s">
        <v>51</v>
      </c>
      <c r="AB26" s="25" t="s">
        <v>53</v>
      </c>
      <c r="AC26" s="25" t="s">
        <v>53</v>
      </c>
      <c r="AD26" s="25" t="s">
        <v>51</v>
      </c>
      <c r="AE26" s="25" t="s">
        <v>53</v>
      </c>
      <c r="AF26" s="25" t="s">
        <v>53</v>
      </c>
      <c r="AG26" s="25" t="s">
        <v>51</v>
      </c>
      <c r="AH26" s="25" t="s">
        <v>50</v>
      </c>
      <c r="AI26" s="25" t="s">
        <v>52</v>
      </c>
      <c r="AJ26" s="25" t="s">
        <v>51</v>
      </c>
      <c r="AK26" s="25" t="s">
        <v>51</v>
      </c>
      <c r="AL26" s="25" t="s">
        <v>52</v>
      </c>
      <c r="AM26" s="25" t="s">
        <v>50</v>
      </c>
      <c r="AN26" s="25" t="s">
        <v>52</v>
      </c>
      <c r="AO26" s="25" t="s">
        <v>50</v>
      </c>
      <c r="AP26" s="25" t="s">
        <v>52</v>
      </c>
      <c r="AQ26" s="25" t="s">
        <v>53</v>
      </c>
      <c r="AR26" s="25" t="s">
        <v>50</v>
      </c>
    </row>
    <row r="27" customFormat="false" ht="15" hidden="false" customHeight="true" outlineLevel="0" collapsed="false">
      <c r="A27" s="16" t="n">
        <v>22</v>
      </c>
      <c r="B27" s="25" t="s">
        <v>152</v>
      </c>
      <c r="C27" s="18" t="str">
        <f aca="false">KELAS</f>
        <v>IX G</v>
      </c>
      <c r="D27" s="26" t="s">
        <v>153</v>
      </c>
      <c r="E27" s="25" t="s">
        <v>50</v>
      </c>
      <c r="F27" s="25" t="s">
        <v>51</v>
      </c>
      <c r="G27" s="25" t="s">
        <v>50</v>
      </c>
      <c r="H27" s="25" t="s">
        <v>50</v>
      </c>
      <c r="I27" s="25" t="s">
        <v>50</v>
      </c>
      <c r="J27" s="25" t="s">
        <v>53</v>
      </c>
      <c r="K27" s="25" t="s">
        <v>52</v>
      </c>
      <c r="L27" s="25" t="s">
        <v>51</v>
      </c>
      <c r="M27" s="25" t="s">
        <v>53</v>
      </c>
      <c r="N27" s="25" t="s">
        <v>50</v>
      </c>
      <c r="O27" s="25" t="s">
        <v>53</v>
      </c>
      <c r="P27" s="25" t="s">
        <v>53</v>
      </c>
      <c r="Q27" s="25" t="s">
        <v>52</v>
      </c>
      <c r="R27" s="25" t="s">
        <v>50</v>
      </c>
      <c r="S27" s="25" t="s">
        <v>51</v>
      </c>
      <c r="T27" s="25" t="s">
        <v>53</v>
      </c>
      <c r="U27" s="25" t="s">
        <v>51</v>
      </c>
      <c r="V27" s="25" t="s">
        <v>50</v>
      </c>
      <c r="W27" s="25" t="s">
        <v>50</v>
      </c>
      <c r="X27" s="25" t="s">
        <v>52</v>
      </c>
      <c r="Y27" s="25" t="s">
        <v>53</v>
      </c>
      <c r="Z27" s="25" t="s">
        <v>51</v>
      </c>
      <c r="AA27" s="25" t="s">
        <v>53</v>
      </c>
      <c r="AB27" s="25" t="s">
        <v>50</v>
      </c>
      <c r="AC27" s="25" t="s">
        <v>51</v>
      </c>
      <c r="AD27" s="25" t="s">
        <v>53</v>
      </c>
      <c r="AE27" s="25" t="s">
        <v>53</v>
      </c>
      <c r="AF27" s="25" t="s">
        <v>53</v>
      </c>
      <c r="AG27" s="25" t="s">
        <v>51</v>
      </c>
      <c r="AH27" s="25" t="s">
        <v>51</v>
      </c>
      <c r="AI27" s="25" t="s">
        <v>51</v>
      </c>
      <c r="AJ27" s="25" t="s">
        <v>51</v>
      </c>
      <c r="AK27" s="25" t="s">
        <v>51</v>
      </c>
      <c r="AL27" s="25" t="s">
        <v>52</v>
      </c>
      <c r="AM27" s="25" t="s">
        <v>50</v>
      </c>
      <c r="AN27" s="25" t="s">
        <v>50</v>
      </c>
      <c r="AO27" s="25" t="s">
        <v>53</v>
      </c>
      <c r="AP27" s="25" t="s">
        <v>52</v>
      </c>
      <c r="AQ27" s="25" t="s">
        <v>53</v>
      </c>
      <c r="AR27" s="25" t="s">
        <v>53</v>
      </c>
    </row>
    <row r="28" customFormat="false" ht="15" hidden="false" customHeight="true" outlineLevel="0" collapsed="false">
      <c r="A28" s="16" t="n">
        <v>23</v>
      </c>
      <c r="B28" s="25" t="s">
        <v>154</v>
      </c>
      <c r="C28" s="18" t="str">
        <f aca="false">KELAS</f>
        <v>IX G</v>
      </c>
      <c r="D28" s="26" t="s">
        <v>155</v>
      </c>
      <c r="E28" s="25" t="s">
        <v>51</v>
      </c>
      <c r="F28" s="25" t="s">
        <v>51</v>
      </c>
      <c r="G28" s="25"/>
      <c r="H28" s="25" t="s">
        <v>51</v>
      </c>
      <c r="I28" s="25" t="s">
        <v>51</v>
      </c>
      <c r="J28" s="25" t="s">
        <v>53</v>
      </c>
      <c r="K28" s="25" t="s">
        <v>52</v>
      </c>
      <c r="L28" s="25" t="s">
        <v>51</v>
      </c>
      <c r="M28" s="25" t="s">
        <v>51</v>
      </c>
      <c r="N28" s="25" t="s">
        <v>53</v>
      </c>
      <c r="O28" s="25" t="s">
        <v>53</v>
      </c>
      <c r="P28" s="25" t="s">
        <v>51</v>
      </c>
      <c r="Q28" s="25" t="s">
        <v>51</v>
      </c>
      <c r="R28" s="25" t="s">
        <v>50</v>
      </c>
      <c r="S28" s="25" t="s">
        <v>52</v>
      </c>
      <c r="T28" s="25" t="s">
        <v>50</v>
      </c>
      <c r="U28" s="25" t="s">
        <v>53</v>
      </c>
      <c r="V28" s="25" t="s">
        <v>53</v>
      </c>
      <c r="W28" s="25" t="s">
        <v>52</v>
      </c>
      <c r="X28" s="25" t="s">
        <v>52</v>
      </c>
      <c r="Y28" s="25" t="s">
        <v>53</v>
      </c>
      <c r="Z28" s="25" t="s">
        <v>51</v>
      </c>
      <c r="AA28" s="25" t="s">
        <v>50</v>
      </c>
      <c r="AB28" s="25" t="s">
        <v>53</v>
      </c>
      <c r="AC28" s="25" t="s">
        <v>52</v>
      </c>
      <c r="AD28" s="25" t="s">
        <v>53</v>
      </c>
      <c r="AE28" s="25" t="s">
        <v>53</v>
      </c>
      <c r="AF28" s="25" t="s">
        <v>53</v>
      </c>
      <c r="AG28" s="25" t="s">
        <v>51</v>
      </c>
      <c r="AH28" s="25" t="s">
        <v>51</v>
      </c>
      <c r="AI28" s="25" t="s">
        <v>52</v>
      </c>
      <c r="AJ28" s="25" t="s">
        <v>50</v>
      </c>
      <c r="AK28" s="25" t="s">
        <v>53</v>
      </c>
      <c r="AL28" s="25" t="s">
        <v>52</v>
      </c>
      <c r="AM28" s="25" t="s">
        <v>53</v>
      </c>
      <c r="AN28" s="25" t="s">
        <v>53</v>
      </c>
      <c r="AO28" s="25" t="s">
        <v>52</v>
      </c>
      <c r="AP28" s="25" t="s">
        <v>52</v>
      </c>
      <c r="AQ28" s="25" t="s">
        <v>52</v>
      </c>
      <c r="AR28" s="25" t="s">
        <v>53</v>
      </c>
    </row>
    <row r="29" customFormat="false" ht="15" hidden="false" customHeight="true" outlineLevel="0" collapsed="false">
      <c r="A29" s="16" t="n">
        <v>24</v>
      </c>
      <c r="B29" s="25" t="s">
        <v>156</v>
      </c>
      <c r="C29" s="18" t="str">
        <f aca="false">KELAS</f>
        <v>IX G</v>
      </c>
      <c r="D29" s="26" t="s">
        <v>157</v>
      </c>
      <c r="E29" s="25" t="s">
        <v>52</v>
      </c>
      <c r="F29" s="25" t="s">
        <v>53</v>
      </c>
      <c r="G29" s="25" t="s">
        <v>52</v>
      </c>
      <c r="H29" s="25" t="s">
        <v>50</v>
      </c>
      <c r="I29" s="25" t="s">
        <v>52</v>
      </c>
      <c r="J29" s="25" t="s">
        <v>51</v>
      </c>
      <c r="K29" s="25" t="s">
        <v>52</v>
      </c>
      <c r="L29" s="25" t="s">
        <v>50</v>
      </c>
      <c r="M29" s="25" t="s">
        <v>52</v>
      </c>
      <c r="N29" s="25" t="s">
        <v>50</v>
      </c>
      <c r="O29" s="25" t="s">
        <v>53</v>
      </c>
      <c r="P29" s="25" t="s">
        <v>52</v>
      </c>
      <c r="Q29" s="25" t="s">
        <v>52</v>
      </c>
      <c r="R29" s="25" t="s">
        <v>50</v>
      </c>
      <c r="S29" s="25" t="s">
        <v>50</v>
      </c>
      <c r="T29" s="25" t="s">
        <v>53</v>
      </c>
      <c r="U29" s="25" t="s">
        <v>53</v>
      </c>
      <c r="V29" s="25" t="s">
        <v>51</v>
      </c>
      <c r="W29" s="25" t="s">
        <v>53</v>
      </c>
      <c r="X29" s="25" t="s">
        <v>51</v>
      </c>
      <c r="Y29" s="25" t="s">
        <v>52</v>
      </c>
      <c r="Z29" s="25" t="s">
        <v>51</v>
      </c>
      <c r="AA29" s="25" t="s">
        <v>50</v>
      </c>
      <c r="AB29" s="25" t="s">
        <v>50</v>
      </c>
      <c r="AC29" s="25" t="s">
        <v>50</v>
      </c>
      <c r="AD29" s="25" t="s">
        <v>53</v>
      </c>
      <c r="AE29" s="25" t="s">
        <v>53</v>
      </c>
      <c r="AF29" s="25" t="s">
        <v>53</v>
      </c>
      <c r="AG29" s="25" t="s">
        <v>51</v>
      </c>
      <c r="AH29" s="25" t="s">
        <v>50</v>
      </c>
      <c r="AI29" s="25" t="s">
        <v>53</v>
      </c>
      <c r="AJ29" s="25" t="s">
        <v>53</v>
      </c>
      <c r="AK29" s="25" t="s">
        <v>53</v>
      </c>
      <c r="AL29" s="25" t="s">
        <v>53</v>
      </c>
      <c r="AM29" s="25" t="s">
        <v>50</v>
      </c>
      <c r="AN29" s="25" t="s">
        <v>50</v>
      </c>
      <c r="AO29" s="25" t="s">
        <v>52</v>
      </c>
      <c r="AP29" s="25" t="s">
        <v>51</v>
      </c>
      <c r="AQ29" s="25" t="s">
        <v>51</v>
      </c>
      <c r="AR29" s="25" t="s">
        <v>50</v>
      </c>
    </row>
    <row r="30" customFormat="false" ht="15" hidden="false" customHeight="true" outlineLevel="0" collapsed="false">
      <c r="A30" s="16" t="n">
        <v>25</v>
      </c>
      <c r="B30" s="25" t="s">
        <v>158</v>
      </c>
      <c r="C30" s="18" t="str">
        <f aca="false">KELAS</f>
        <v>IX G</v>
      </c>
      <c r="D30" s="26" t="s">
        <v>159</v>
      </c>
      <c r="E30" s="25" t="s">
        <v>51</v>
      </c>
      <c r="F30" s="25" t="s">
        <v>50</v>
      </c>
      <c r="G30" s="25" t="s">
        <v>52</v>
      </c>
      <c r="H30" s="25" t="s">
        <v>50</v>
      </c>
      <c r="I30" s="25" t="s">
        <v>53</v>
      </c>
      <c r="J30" s="25" t="s">
        <v>53</v>
      </c>
      <c r="K30" s="25" t="s">
        <v>53</v>
      </c>
      <c r="L30" s="25" t="s">
        <v>51</v>
      </c>
      <c r="M30" s="25" t="s">
        <v>51</v>
      </c>
      <c r="N30" s="25" t="s">
        <v>53</v>
      </c>
      <c r="O30" s="25" t="s">
        <v>53</v>
      </c>
      <c r="P30" s="25" t="s">
        <v>51</v>
      </c>
      <c r="Q30" s="25" t="s">
        <v>51</v>
      </c>
      <c r="R30" s="25" t="s">
        <v>50</v>
      </c>
      <c r="S30" s="25"/>
      <c r="T30" s="25" t="s">
        <v>51</v>
      </c>
      <c r="U30" s="25" t="s">
        <v>53</v>
      </c>
      <c r="V30" s="25" t="s">
        <v>50</v>
      </c>
      <c r="W30" s="25" t="s">
        <v>51</v>
      </c>
      <c r="X30" s="25" t="s">
        <v>52</v>
      </c>
      <c r="Y30" s="25" t="s">
        <v>51</v>
      </c>
      <c r="Z30" s="25" t="s">
        <v>51</v>
      </c>
      <c r="AA30" s="25" t="s">
        <v>50</v>
      </c>
      <c r="AB30" s="25" t="s">
        <v>53</v>
      </c>
      <c r="AC30" s="25" t="s">
        <v>51</v>
      </c>
      <c r="AD30" s="25" t="s">
        <v>53</v>
      </c>
      <c r="AE30" s="25" t="s">
        <v>53</v>
      </c>
      <c r="AF30" s="25" t="s">
        <v>53</v>
      </c>
      <c r="AG30" s="25" t="s">
        <v>51</v>
      </c>
      <c r="AH30" s="25" t="s">
        <v>51</v>
      </c>
      <c r="AI30" s="25" t="s">
        <v>52</v>
      </c>
      <c r="AJ30" s="25" t="s">
        <v>52</v>
      </c>
      <c r="AK30" s="25" t="s">
        <v>53</v>
      </c>
      <c r="AL30" s="25" t="s">
        <v>53</v>
      </c>
      <c r="AM30" s="25"/>
      <c r="AN30" s="25" t="s">
        <v>52</v>
      </c>
      <c r="AO30" s="25" t="s">
        <v>52</v>
      </c>
      <c r="AP30" s="25" t="s">
        <v>52</v>
      </c>
      <c r="AQ30" s="25" t="s">
        <v>51</v>
      </c>
      <c r="AR30" s="25" t="s">
        <v>50</v>
      </c>
    </row>
    <row r="31" customFormat="false" ht="15" hidden="false" customHeight="true" outlineLevel="0" collapsed="false">
      <c r="A31" s="16" t="n">
        <v>26</v>
      </c>
      <c r="B31" s="25" t="s">
        <v>160</v>
      </c>
      <c r="C31" s="18" t="str">
        <f aca="false">KELAS</f>
        <v>IX G</v>
      </c>
      <c r="D31" s="26" t="s">
        <v>161</v>
      </c>
      <c r="E31" s="25" t="s">
        <v>50</v>
      </c>
      <c r="F31" s="25" t="s">
        <v>51</v>
      </c>
      <c r="G31" s="25" t="s">
        <v>52</v>
      </c>
      <c r="H31" s="25" t="s">
        <v>50</v>
      </c>
      <c r="I31" s="25" t="s">
        <v>53</v>
      </c>
      <c r="J31" s="25" t="s">
        <v>50</v>
      </c>
      <c r="K31" s="25" t="s">
        <v>50</v>
      </c>
      <c r="L31" s="25" t="s">
        <v>51</v>
      </c>
      <c r="M31" s="25" t="s">
        <v>52</v>
      </c>
      <c r="N31" s="25" t="s">
        <v>50</v>
      </c>
      <c r="O31" s="25" t="s">
        <v>53</v>
      </c>
      <c r="P31" s="25" t="s">
        <v>52</v>
      </c>
      <c r="Q31" s="25" t="s">
        <v>51</v>
      </c>
      <c r="R31" s="25" t="s">
        <v>51</v>
      </c>
      <c r="S31" s="25" t="s">
        <v>50</v>
      </c>
      <c r="T31" s="25" t="s">
        <v>52</v>
      </c>
      <c r="U31" s="25" t="s">
        <v>51</v>
      </c>
      <c r="V31" s="25" t="s">
        <v>50</v>
      </c>
      <c r="W31" s="25" t="s">
        <v>52</v>
      </c>
      <c r="X31" s="25" t="s">
        <v>53</v>
      </c>
      <c r="Y31" s="25" t="s">
        <v>53</v>
      </c>
      <c r="Z31" s="25" t="s">
        <v>53</v>
      </c>
      <c r="AA31" s="25" t="s">
        <v>50</v>
      </c>
      <c r="AB31" s="25" t="s">
        <v>50</v>
      </c>
      <c r="AC31" s="25" t="s">
        <v>51</v>
      </c>
      <c r="AD31" s="25" t="s">
        <v>52</v>
      </c>
      <c r="AE31" s="25" t="s">
        <v>51</v>
      </c>
      <c r="AF31" s="25" t="s">
        <v>51</v>
      </c>
      <c r="AG31" s="25" t="s">
        <v>50</v>
      </c>
      <c r="AH31" s="25" t="s">
        <v>51</v>
      </c>
      <c r="AI31" s="25" t="s">
        <v>53</v>
      </c>
      <c r="AJ31" s="25" t="s">
        <v>52</v>
      </c>
      <c r="AK31" s="25"/>
      <c r="AL31" s="25" t="s">
        <v>51</v>
      </c>
      <c r="AM31" s="25" t="s">
        <v>51</v>
      </c>
      <c r="AN31" s="25" t="s">
        <v>51</v>
      </c>
      <c r="AO31" s="25" t="s">
        <v>52</v>
      </c>
      <c r="AP31" s="25" t="s">
        <v>53</v>
      </c>
      <c r="AQ31" s="25" t="s">
        <v>51</v>
      </c>
      <c r="AR31" s="25" t="s">
        <v>53</v>
      </c>
    </row>
    <row r="32" customFormat="false" ht="15" hidden="false" customHeight="true" outlineLevel="0" collapsed="false">
      <c r="A32" s="16" t="n">
        <v>27</v>
      </c>
      <c r="B32" s="25" t="s">
        <v>162</v>
      </c>
      <c r="C32" s="18" t="str">
        <f aca="false">KELAS</f>
        <v>IX G</v>
      </c>
      <c r="D32" s="26" t="s">
        <v>163</v>
      </c>
      <c r="E32" s="25" t="s">
        <v>50</v>
      </c>
      <c r="F32" s="25" t="s">
        <v>51</v>
      </c>
      <c r="G32" s="25" t="s">
        <v>51</v>
      </c>
      <c r="H32" s="25" t="s">
        <v>50</v>
      </c>
      <c r="I32" s="25" t="s">
        <v>51</v>
      </c>
      <c r="J32" s="25" t="s">
        <v>50</v>
      </c>
      <c r="K32" s="25" t="s">
        <v>52</v>
      </c>
      <c r="L32" s="25" t="s">
        <v>51</v>
      </c>
      <c r="M32" s="25" t="s">
        <v>51</v>
      </c>
      <c r="N32" s="25" t="s">
        <v>53</v>
      </c>
      <c r="O32" s="25" t="s">
        <v>53</v>
      </c>
      <c r="P32" s="25" t="s">
        <v>53</v>
      </c>
      <c r="Q32" s="25" t="s">
        <v>53</v>
      </c>
      <c r="R32" s="25" t="s">
        <v>52</v>
      </c>
      <c r="S32" s="25" t="s">
        <v>52</v>
      </c>
      <c r="T32" s="25" t="s">
        <v>53</v>
      </c>
      <c r="U32" s="25" t="s">
        <v>50</v>
      </c>
      <c r="V32" s="25" t="s">
        <v>52</v>
      </c>
      <c r="W32" s="25" t="s">
        <v>53</v>
      </c>
      <c r="X32" s="25" t="s">
        <v>52</v>
      </c>
      <c r="Y32" s="25"/>
      <c r="Z32" s="25" t="s">
        <v>51</v>
      </c>
      <c r="AA32" s="25" t="s">
        <v>50</v>
      </c>
      <c r="AB32" s="25" t="s">
        <v>50</v>
      </c>
      <c r="AC32" s="25" t="s">
        <v>51</v>
      </c>
      <c r="AD32" s="25" t="s">
        <v>53</v>
      </c>
      <c r="AE32" s="25" t="s">
        <v>51</v>
      </c>
      <c r="AF32" s="25" t="s">
        <v>50</v>
      </c>
      <c r="AG32" s="25" t="s">
        <v>51</v>
      </c>
      <c r="AH32" s="25" t="s">
        <v>51</v>
      </c>
      <c r="AI32" s="25" t="s">
        <v>52</v>
      </c>
      <c r="AJ32" s="25" t="s">
        <v>52</v>
      </c>
      <c r="AK32" s="25" t="s">
        <v>51</v>
      </c>
      <c r="AL32" s="25" t="s">
        <v>52</v>
      </c>
      <c r="AM32" s="25" t="s">
        <v>52</v>
      </c>
      <c r="AN32" s="25" t="s">
        <v>53</v>
      </c>
      <c r="AO32" s="25" t="s">
        <v>50</v>
      </c>
      <c r="AP32" s="25" t="s">
        <v>51</v>
      </c>
      <c r="AQ32" s="25" t="s">
        <v>53</v>
      </c>
      <c r="AR32" s="25" t="s">
        <v>53</v>
      </c>
    </row>
    <row r="33" customFormat="false" ht="15" hidden="false" customHeight="true" outlineLevel="0" collapsed="false">
      <c r="A33" s="16" t="n">
        <v>28</v>
      </c>
      <c r="B33" s="25" t="s">
        <v>164</v>
      </c>
      <c r="C33" s="18" t="str">
        <f aca="false">KELAS</f>
        <v>IX G</v>
      </c>
      <c r="D33" s="26" t="s">
        <v>165</v>
      </c>
      <c r="E33" s="25" t="s">
        <v>50</v>
      </c>
      <c r="F33" s="25" t="s">
        <v>51</v>
      </c>
      <c r="G33" s="25" t="s">
        <v>52</v>
      </c>
      <c r="H33" s="25" t="s">
        <v>52</v>
      </c>
      <c r="I33" s="25" t="s">
        <v>53</v>
      </c>
      <c r="J33" s="25" t="s">
        <v>53</v>
      </c>
      <c r="K33" s="25"/>
      <c r="L33" s="25" t="s">
        <v>51</v>
      </c>
      <c r="M33" s="25" t="s">
        <v>51</v>
      </c>
      <c r="N33" s="25" t="s">
        <v>50</v>
      </c>
      <c r="O33" s="25" t="s">
        <v>50</v>
      </c>
      <c r="P33" s="25" t="s">
        <v>53</v>
      </c>
      <c r="Q33" s="25" t="s">
        <v>50</v>
      </c>
      <c r="R33" s="25" t="s">
        <v>50</v>
      </c>
      <c r="S33" s="25" t="s">
        <v>52</v>
      </c>
      <c r="T33" s="25" t="s">
        <v>53</v>
      </c>
      <c r="U33" s="25" t="s">
        <v>52</v>
      </c>
      <c r="V33" s="25" t="s">
        <v>51</v>
      </c>
      <c r="W33" s="25" t="s">
        <v>52</v>
      </c>
      <c r="X33" s="25" t="s">
        <v>52</v>
      </c>
      <c r="Y33" s="25" t="s">
        <v>51</v>
      </c>
      <c r="Z33" s="25" t="s">
        <v>51</v>
      </c>
      <c r="AA33" s="25" t="s">
        <v>51</v>
      </c>
      <c r="AB33" s="25" t="s">
        <v>53</v>
      </c>
      <c r="AC33" s="25" t="s">
        <v>51</v>
      </c>
      <c r="AD33" s="25" t="s">
        <v>53</v>
      </c>
      <c r="AE33" s="25" t="s">
        <v>53</v>
      </c>
      <c r="AF33" s="25" t="s">
        <v>53</v>
      </c>
      <c r="AG33" s="25" t="s">
        <v>50</v>
      </c>
      <c r="AH33" s="25"/>
      <c r="AI33" s="25" t="s">
        <v>52</v>
      </c>
      <c r="AJ33" s="25" t="s">
        <v>52</v>
      </c>
      <c r="AK33" s="25" t="s">
        <v>51</v>
      </c>
      <c r="AL33" s="25" t="s">
        <v>53</v>
      </c>
      <c r="AM33" s="25" t="s">
        <v>50</v>
      </c>
      <c r="AN33" s="25" t="s">
        <v>51</v>
      </c>
      <c r="AO33" s="25" t="s">
        <v>50</v>
      </c>
      <c r="AP33" s="25" t="s">
        <v>52</v>
      </c>
      <c r="AQ33" s="25" t="s">
        <v>51</v>
      </c>
      <c r="AR33" s="25" t="s">
        <v>53</v>
      </c>
    </row>
    <row r="34" customFormat="false" ht="15" hidden="false" customHeight="true" outlineLevel="0" collapsed="false">
      <c r="A34" s="16" t="n">
        <v>29</v>
      </c>
      <c r="B34" s="25" t="s">
        <v>166</v>
      </c>
      <c r="C34" s="18" t="str">
        <f aca="false">KELAS</f>
        <v>IX G</v>
      </c>
      <c r="D34" s="26" t="s">
        <v>167</v>
      </c>
      <c r="E34" s="25" t="s">
        <v>50</v>
      </c>
      <c r="F34" s="25" t="s">
        <v>51</v>
      </c>
      <c r="G34" s="25" t="s">
        <v>52</v>
      </c>
      <c r="H34" s="25" t="s">
        <v>50</v>
      </c>
      <c r="I34" s="25"/>
      <c r="J34" s="25" t="s">
        <v>52</v>
      </c>
      <c r="K34" s="25" t="s">
        <v>53</v>
      </c>
      <c r="L34" s="25" t="s">
        <v>51</v>
      </c>
      <c r="M34" s="25" t="s">
        <v>51</v>
      </c>
      <c r="N34" s="25" t="s">
        <v>51</v>
      </c>
      <c r="O34" s="25" t="s">
        <v>50</v>
      </c>
      <c r="P34" s="25" t="s">
        <v>52</v>
      </c>
      <c r="Q34" s="25" t="s">
        <v>51</v>
      </c>
      <c r="R34" s="25" t="s">
        <v>53</v>
      </c>
      <c r="S34" s="25" t="s">
        <v>52</v>
      </c>
      <c r="T34" s="25" t="s">
        <v>53</v>
      </c>
      <c r="U34" s="25" t="s">
        <v>50</v>
      </c>
      <c r="V34" s="25"/>
      <c r="W34" s="25" t="s">
        <v>53</v>
      </c>
      <c r="X34" s="25" t="s">
        <v>52</v>
      </c>
      <c r="Y34" s="25" t="s">
        <v>51</v>
      </c>
      <c r="Z34" s="25" t="s">
        <v>51</v>
      </c>
      <c r="AA34" s="25" t="s">
        <v>50</v>
      </c>
      <c r="AB34" s="25" t="s">
        <v>53</v>
      </c>
      <c r="AC34" s="25" t="s">
        <v>51</v>
      </c>
      <c r="AD34" s="25" t="s">
        <v>53</v>
      </c>
      <c r="AE34" s="25" t="s">
        <v>50</v>
      </c>
      <c r="AF34" s="25" t="s">
        <v>52</v>
      </c>
      <c r="AG34" s="25" t="s">
        <v>53</v>
      </c>
      <c r="AH34" s="25" t="s">
        <v>50</v>
      </c>
      <c r="AI34" s="25" t="s">
        <v>52</v>
      </c>
      <c r="AJ34" s="25" t="s">
        <v>52</v>
      </c>
      <c r="AK34" s="25" t="s">
        <v>50</v>
      </c>
      <c r="AL34" s="25" t="s">
        <v>52</v>
      </c>
      <c r="AM34" s="25" t="s">
        <v>50</v>
      </c>
      <c r="AN34" s="25" t="s">
        <v>50</v>
      </c>
      <c r="AO34" s="25" t="s">
        <v>51</v>
      </c>
      <c r="AP34" s="25" t="s">
        <v>50</v>
      </c>
      <c r="AQ34" s="25" t="s">
        <v>52</v>
      </c>
      <c r="AR34" s="25" t="s">
        <v>53</v>
      </c>
    </row>
    <row r="35" customFormat="false" ht="15" hidden="false" customHeight="true" outlineLevel="0" collapsed="false">
      <c r="A35" s="16" t="n">
        <v>30</v>
      </c>
      <c r="B35" s="25" t="s">
        <v>168</v>
      </c>
      <c r="C35" s="18" t="str">
        <f aca="false">KELAS</f>
        <v>IX G</v>
      </c>
      <c r="D35" s="26" t="s">
        <v>169</v>
      </c>
      <c r="E35" s="25" t="s">
        <v>50</v>
      </c>
      <c r="F35" s="25" t="s">
        <v>51</v>
      </c>
      <c r="G35" s="25" t="s">
        <v>50</v>
      </c>
      <c r="H35" s="25" t="s">
        <v>53</v>
      </c>
      <c r="I35" s="25" t="s">
        <v>50</v>
      </c>
      <c r="J35" s="25" t="s">
        <v>50</v>
      </c>
      <c r="K35" s="25" t="s">
        <v>52</v>
      </c>
      <c r="L35" s="25" t="s">
        <v>51</v>
      </c>
      <c r="M35" s="25" t="s">
        <v>51</v>
      </c>
      <c r="N35" s="25" t="s">
        <v>52</v>
      </c>
      <c r="O35" s="25" t="s">
        <v>50</v>
      </c>
      <c r="P35" s="25" t="s">
        <v>53</v>
      </c>
      <c r="Q35" s="25" t="s">
        <v>51</v>
      </c>
      <c r="R35" s="25" t="s">
        <v>53</v>
      </c>
      <c r="S35" s="25" t="s">
        <v>50</v>
      </c>
      <c r="T35" s="25" t="s">
        <v>51</v>
      </c>
      <c r="U35" s="25" t="s">
        <v>53</v>
      </c>
      <c r="V35" s="25" t="s">
        <v>50</v>
      </c>
      <c r="W35" s="25" t="s">
        <v>53</v>
      </c>
      <c r="X35" s="25" t="s">
        <v>52</v>
      </c>
      <c r="Y35" s="25" t="s">
        <v>50</v>
      </c>
      <c r="Z35" s="25" t="s">
        <v>53</v>
      </c>
      <c r="AA35" s="25" t="s">
        <v>50</v>
      </c>
      <c r="AB35" s="25" t="s">
        <v>53</v>
      </c>
      <c r="AC35" s="25" t="s">
        <v>51</v>
      </c>
      <c r="AD35" s="25" t="s">
        <v>52</v>
      </c>
      <c r="AE35" s="25" t="s">
        <v>51</v>
      </c>
      <c r="AF35" s="25" t="s">
        <v>50</v>
      </c>
      <c r="AG35" s="25" t="s">
        <v>50</v>
      </c>
      <c r="AH35" s="25" t="s">
        <v>50</v>
      </c>
      <c r="AI35" s="25" t="s">
        <v>52</v>
      </c>
      <c r="AJ35" s="25" t="s">
        <v>52</v>
      </c>
      <c r="AK35" s="25" t="s">
        <v>53</v>
      </c>
      <c r="AL35" s="25" t="s">
        <v>50</v>
      </c>
      <c r="AM35" s="25" t="s">
        <v>52</v>
      </c>
      <c r="AN35" s="25" t="s">
        <v>52</v>
      </c>
      <c r="AO35" s="25" t="s">
        <v>53</v>
      </c>
      <c r="AP35" s="25" t="s">
        <v>52</v>
      </c>
      <c r="AQ35" s="25" t="s">
        <v>51</v>
      </c>
      <c r="AR35" s="25" t="s">
        <v>51</v>
      </c>
    </row>
    <row r="36" customFormat="false" ht="15" hidden="false" customHeight="true" outlineLevel="0" collapsed="false">
      <c r="A36" s="16" t="n">
        <v>31</v>
      </c>
      <c r="B36" s="18" t="s">
        <v>170</v>
      </c>
      <c r="C36" s="18"/>
      <c r="D36" s="26" t="s">
        <v>171</v>
      </c>
      <c r="E36" s="26"/>
      <c r="F36" s="26" t="s">
        <v>51</v>
      </c>
      <c r="G36" s="26" t="s">
        <v>52</v>
      </c>
      <c r="H36" s="26" t="s">
        <v>50</v>
      </c>
      <c r="I36" s="26" t="s">
        <v>50</v>
      </c>
      <c r="J36" s="26" t="s">
        <v>53</v>
      </c>
      <c r="K36" s="26" t="s">
        <v>51</v>
      </c>
      <c r="L36" s="26" t="s">
        <v>51</v>
      </c>
      <c r="M36" s="26" t="s">
        <v>53</v>
      </c>
      <c r="N36" s="26" t="s">
        <v>53</v>
      </c>
      <c r="O36" s="26" t="s">
        <v>53</v>
      </c>
      <c r="P36" s="26" t="s">
        <v>52</v>
      </c>
      <c r="Q36" s="26" t="s">
        <v>53</v>
      </c>
      <c r="R36" s="26" t="s">
        <v>50</v>
      </c>
      <c r="S36" s="26" t="s">
        <v>53</v>
      </c>
      <c r="T36" s="26"/>
      <c r="U36" s="26" t="s">
        <v>53</v>
      </c>
      <c r="V36" s="26" t="s">
        <v>52</v>
      </c>
      <c r="W36" s="26" t="s">
        <v>53</v>
      </c>
      <c r="X36" s="26" t="s">
        <v>52</v>
      </c>
      <c r="Y36" s="26" t="s">
        <v>53</v>
      </c>
      <c r="Z36" s="26" t="s">
        <v>53</v>
      </c>
      <c r="AA36" s="26" t="s">
        <v>50</v>
      </c>
      <c r="AB36" s="26" t="s">
        <v>53</v>
      </c>
      <c r="AC36" s="26" t="s">
        <v>52</v>
      </c>
      <c r="AD36" s="26" t="s">
        <v>50</v>
      </c>
      <c r="AE36" s="26" t="s">
        <v>53</v>
      </c>
      <c r="AF36" s="26" t="s">
        <v>53</v>
      </c>
      <c r="AG36" s="26" t="s">
        <v>52</v>
      </c>
      <c r="AH36" s="26" t="s">
        <v>53</v>
      </c>
      <c r="AI36" s="26" t="s">
        <v>50</v>
      </c>
      <c r="AJ36" s="26" t="s">
        <v>52</v>
      </c>
      <c r="AK36" s="26" t="s">
        <v>51</v>
      </c>
      <c r="AL36" s="26" t="s">
        <v>52</v>
      </c>
      <c r="AM36" s="26" t="s">
        <v>51</v>
      </c>
      <c r="AN36" s="26" t="s">
        <v>50</v>
      </c>
      <c r="AO36" s="26" t="s">
        <v>53</v>
      </c>
      <c r="AP36" s="26" t="s">
        <v>52</v>
      </c>
      <c r="AQ36" s="26" t="s">
        <v>51</v>
      </c>
      <c r="AR36" s="26"/>
    </row>
    <row r="37" customFormat="false" ht="15" hidden="false" customHeight="true" outlineLevel="0" collapsed="false">
      <c r="A37" s="16" t="n">
        <v>32</v>
      </c>
      <c r="B37" s="18"/>
      <c r="C37" s="18"/>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row>
    <row r="38" customFormat="false" ht="15" hidden="false" customHeight="true" outlineLevel="0" collapsed="false">
      <c r="A38" s="16" t="n">
        <v>33</v>
      </c>
      <c r="B38" s="18"/>
      <c r="C38" s="18"/>
      <c r="D38" s="18"/>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row>
    <row r="39" customFormat="false" ht="15" hidden="false" customHeight="true" outlineLevel="0" collapsed="false">
      <c r="A39" s="16" t="n">
        <v>34</v>
      </c>
      <c r="B39" s="18"/>
      <c r="C39" s="18"/>
      <c r="D39" s="18"/>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row>
    <row r="40" customFormat="false" ht="15" hidden="false" customHeight="true" outlineLevel="0" collapsed="false">
      <c r="A40" s="16" t="n">
        <v>35</v>
      </c>
      <c r="B40" s="18"/>
      <c r="C40" s="18"/>
      <c r="D40" s="18"/>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row>
    <row r="41" customFormat="false" ht="15" hidden="false" customHeight="true" outlineLevel="0" collapsed="false">
      <c r="A41" s="16" t="n">
        <v>36</v>
      </c>
      <c r="B41" s="18"/>
      <c r="C41" s="18"/>
      <c r="D41" s="18"/>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row>
    <row r="42" customFormat="false" ht="15" hidden="false" customHeight="true" outlineLevel="0" collapsed="false">
      <c r="A42" s="16" t="n">
        <v>37</v>
      </c>
      <c r="B42" s="18"/>
      <c r="C42" s="18"/>
      <c r="D42" s="18"/>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row>
    <row r="43" customFormat="false" ht="15" hidden="false" customHeight="true" outlineLevel="0" collapsed="false">
      <c r="A43" s="16" t="n">
        <v>38</v>
      </c>
      <c r="B43" s="18"/>
      <c r="C43" s="18"/>
      <c r="D43" s="18"/>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row>
    <row r="44" customFormat="false" ht="15" hidden="false" customHeight="true" outlineLevel="0" collapsed="false">
      <c r="A44" s="16" t="n">
        <v>39</v>
      </c>
      <c r="B44" s="18"/>
      <c r="C44" s="18"/>
      <c r="D44" s="18"/>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row>
    <row r="45" customFormat="false" ht="15" hidden="false" customHeight="true" outlineLevel="0" collapsed="false">
      <c r="A45" s="16" t="n">
        <v>40</v>
      </c>
      <c r="B45" s="18"/>
      <c r="C45" s="18"/>
      <c r="D45" s="18"/>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row>
    <row r="46" customFormat="false" ht="15" hidden="false" customHeight="true" outlineLevel="0" collapsed="false">
      <c r="A46" s="16" t="n">
        <v>41</v>
      </c>
      <c r="B46" s="18"/>
      <c r="C46" s="18"/>
      <c r="D46" s="18"/>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row>
    <row r="47" customFormat="false" ht="15" hidden="false" customHeight="true" outlineLevel="0" collapsed="false">
      <c r="A47" s="16" t="n">
        <v>42</v>
      </c>
      <c r="B47" s="18"/>
      <c r="C47" s="18"/>
      <c r="D47" s="18"/>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row>
    <row r="48" customFormat="false" ht="15" hidden="false" customHeight="true" outlineLevel="0" collapsed="false">
      <c r="A48" s="16" t="n">
        <v>43</v>
      </c>
      <c r="B48" s="18"/>
      <c r="C48" s="18"/>
      <c r="D48" s="18"/>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row>
    <row r="49" customFormat="false" ht="15" hidden="false" customHeight="true" outlineLevel="0" collapsed="false">
      <c r="A49" s="16" t="n">
        <v>44</v>
      </c>
      <c r="B49" s="18"/>
      <c r="C49" s="18"/>
      <c r="D49" s="18"/>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row>
    <row r="50" customFormat="false" ht="15" hidden="false" customHeight="true" outlineLevel="0" collapsed="false">
      <c r="A50" s="16" t="n">
        <v>45</v>
      </c>
      <c r="B50" s="18"/>
      <c r="C50" s="18"/>
      <c r="D50" s="18"/>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row>
    <row r="51" customFormat="false" ht="15" hidden="false" customHeight="true" outlineLevel="0" collapsed="false">
      <c r="A51" s="16" t="n">
        <v>46</v>
      </c>
      <c r="B51" s="18"/>
      <c r="C51" s="18"/>
      <c r="D51" s="18"/>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row>
    <row r="52" customFormat="false" ht="15" hidden="false" customHeight="true" outlineLevel="0" collapsed="false">
      <c r="A52" s="16" t="n">
        <v>47</v>
      </c>
      <c r="B52" s="18"/>
      <c r="C52" s="18"/>
      <c r="D52" s="18"/>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row>
    <row r="53" customFormat="false" ht="15" hidden="false" customHeight="true" outlineLevel="0" collapsed="false">
      <c r="A53" s="16" t="n">
        <v>48</v>
      </c>
      <c r="B53" s="18"/>
      <c r="C53" s="18"/>
      <c r="D53" s="18"/>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row>
    <row r="54" customFormat="false" ht="15" hidden="false" customHeight="true" outlineLevel="0" collapsed="false">
      <c r="A54" s="16" t="n">
        <v>49</v>
      </c>
      <c r="B54" s="18"/>
      <c r="C54" s="18"/>
      <c r="D54" s="18"/>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row>
    <row r="55" customFormat="false" ht="15" hidden="false" customHeight="true" outlineLevel="0" collapsed="false">
      <c r="A55" s="16" t="n">
        <v>50</v>
      </c>
      <c r="B55" s="18"/>
      <c r="C55" s="18"/>
      <c r="D55" s="18"/>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row>
  </sheetData>
  <dataValidations count="1">
    <dataValidation allowBlank="true" error="Isi dengan A, B, C, D atau kosongkan" errorStyle="stop" errorTitle="Jawaban tidak valid" operator="between" showDropDown="false" showErrorMessage="true" showInputMessage="false" sqref="E6:AR55" type="list">
      <formula1>"A,B,C,D"</formula1>
      <formula2>0</formula2>
    </dataValidation>
  </dataValidations>
  <printOptions headings="false" gridLines="false" gridLinesSet="true" horizontalCentered="false" verticalCentered="false"/>
  <pageMargins left="0.120138888888889" right="0.129861111111111"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AY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K10" activePane="bottomRight" state="frozen"/>
      <selection pane="topLeft" activeCell="A1" activeCellId="0" sqref="A1"/>
      <selection pane="topRight" activeCell="K1" activeCellId="0" sqref="K1"/>
      <selection pane="bottomLeft" activeCell="A10" activeCellId="0" sqref="A10"/>
      <selection pane="bottomRight" activeCell="E39" activeCellId="0" sqref="E39"/>
    </sheetView>
  </sheetViews>
  <sheetFormatPr defaultColWidth="8.6328125" defaultRowHeight="14.2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8"/>
    <col collapsed="false" customWidth="true" hidden="false" outlineLevel="0" max="4" min="4" style="17" width="12.18"/>
    <col collapsed="false" customWidth="true" hidden="false" outlineLevel="0" max="44" min="5" style="0" width="4.18"/>
    <col collapsed="false" customWidth="true" hidden="false" outlineLevel="0" max="45" min="45" style="0" width="7"/>
    <col collapsed="false" customWidth="true" hidden="false" outlineLevel="0" max="46" min="46" style="0" width="8"/>
    <col collapsed="false" customWidth="true" hidden="false" outlineLevel="0" max="47" min="47" style="0" width="13"/>
    <col collapsed="false" customWidth="true" hidden="false" outlineLevel="0" max="48" min="48" style="0" width="12"/>
    <col collapsed="false" customWidth="true" hidden="false" outlineLevel="0" max="49" min="49" style="0" width="9"/>
    <col collapsed="false" customWidth="true" hidden="false" outlineLevel="0" max="51" min="50" style="0" width="10"/>
  </cols>
  <sheetData>
    <row r="1" customFormat="false" ht="17.25" hidden="false" customHeight="true" outlineLevel="0" collapsed="false">
      <c r="A1" s="12" t="s">
        <v>172</v>
      </c>
    </row>
    <row r="2" customFormat="false" ht="15" hidden="false" customHeight="true" outlineLevel="0" collapsed="false">
      <c r="A2" s="13" t="str">
        <f aca="false">UPPER(NAMA_MADRASAH)&amp;" | TAHUN PELAJARAN "&amp;TAHUN_AJAR</f>
        <v>MTSN 3 SUBANG | TAHUN PELAJARAN 2025-2026</v>
      </c>
    </row>
    <row r="3" customFormat="false" ht="15" hidden="false" customHeight="true" outlineLevel="0" collapsed="false">
      <c r="A3" s="14" t="str">
        <f aca="false">MAPEL&amp;" | Kelas "&amp;KELAS&amp;" | Semester "&amp;SEMESTER&amp;" | "&amp;JENIS_TES</f>
        <v>Bahasa Indonesia | Kelas IX G | Semester Ganjil | Penilaian Akhir Semester</v>
      </c>
    </row>
    <row r="4" customFormat="false" ht="15" hidden="false" customHeight="true" outlineLevel="0" collapsed="false">
      <c r="D4" s="27" t="s">
        <v>173</v>
      </c>
      <c r="E4" s="28" t="str">
        <f aca="false">IF(INDEX(KUNCI!$B$6:$B$45,E$5)="","",UPPER(INDEX(KUNCI!$B$6:$B$45,E$5)))</f>
        <v>A</v>
      </c>
      <c r="F4" s="28" t="str">
        <f aca="false">IF(INDEX(KUNCI!$B$6:$B$45,F$5)="","",UPPER(INDEX(KUNCI!$B$6:$B$45,F$5)))</f>
        <v>D</v>
      </c>
      <c r="G4" s="28" t="str">
        <f aca="false">IF(INDEX(KUNCI!$B$6:$B$45,G$5)="","",UPPER(INDEX(KUNCI!$B$6:$B$45,G$5)))</f>
        <v>B</v>
      </c>
      <c r="H4" s="28" t="str">
        <f aca="false">IF(INDEX(KUNCI!$B$6:$B$45,H$5)="","",UPPER(INDEX(KUNCI!$B$6:$B$45,H$5)))</f>
        <v>A</v>
      </c>
      <c r="I4" s="28" t="str">
        <f aca="false">IF(INDEX(KUNCI!$B$6:$B$45,I$5)="","",UPPER(INDEX(KUNCI!$B$6:$B$45,I$5)))</f>
        <v>C</v>
      </c>
      <c r="J4" s="28" t="str">
        <f aca="false">IF(INDEX(KUNCI!$B$6:$B$45,J$5)="","",UPPER(INDEX(KUNCI!$B$6:$B$45,J$5)))</f>
        <v>C</v>
      </c>
      <c r="K4" s="28" t="str">
        <f aca="false">IF(INDEX(KUNCI!$B$6:$B$45,K$5)="","",UPPER(INDEX(KUNCI!$B$6:$B$45,K$5)))</f>
        <v>B</v>
      </c>
      <c r="L4" s="28" t="str">
        <f aca="false">IF(INDEX(KUNCI!$B$6:$B$45,L$5)="","",UPPER(INDEX(KUNCI!$B$6:$B$45,L$5)))</f>
        <v>D</v>
      </c>
      <c r="M4" s="28" t="str">
        <f aca="false">IF(INDEX(KUNCI!$B$6:$B$45,M$5)="","",UPPER(INDEX(KUNCI!$B$6:$B$45,M$5)))</f>
        <v>D</v>
      </c>
      <c r="N4" s="28" t="str">
        <f aca="false">IF(INDEX(KUNCI!$B$6:$B$45,N$5)="","",UPPER(INDEX(KUNCI!$B$6:$B$45,N$5)))</f>
        <v>C</v>
      </c>
      <c r="O4" s="28" t="str">
        <f aca="false">IF(INDEX(KUNCI!$B$6:$B$45,O$5)="","",UPPER(INDEX(KUNCI!$B$6:$B$45,O$5)))</f>
        <v>C</v>
      </c>
      <c r="P4" s="28" t="str">
        <f aca="false">IF(INDEX(KUNCI!$B$6:$B$45,P$5)="","",UPPER(INDEX(KUNCI!$B$6:$B$45,P$5)))</f>
        <v>C</v>
      </c>
      <c r="Q4" s="28" t="str">
        <f aca="false">IF(INDEX(KUNCI!$B$6:$B$45,Q$5)="","",UPPER(INDEX(KUNCI!$B$6:$B$45,Q$5)))</f>
        <v>D</v>
      </c>
      <c r="R4" s="28" t="str">
        <f aca="false">IF(INDEX(KUNCI!$B$6:$B$45,R$5)="","",UPPER(INDEX(KUNCI!$B$6:$B$45,R$5)))</f>
        <v>A</v>
      </c>
      <c r="S4" s="28" t="str">
        <f aca="false">IF(INDEX(KUNCI!$B$6:$B$45,S$5)="","",UPPER(INDEX(KUNCI!$B$6:$B$45,S$5)))</f>
        <v>B</v>
      </c>
      <c r="T4" s="28" t="str">
        <f aca="false">IF(INDEX(KUNCI!$B$6:$B$45,T$5)="","",UPPER(INDEX(KUNCI!$B$6:$B$45,T$5)))</f>
        <v>C</v>
      </c>
      <c r="U4" s="28" t="str">
        <f aca="false">IF(INDEX(KUNCI!$B$6:$B$45,U$5)="","",UPPER(INDEX(KUNCI!$B$6:$B$45,U$5)))</f>
        <v>C</v>
      </c>
      <c r="V4" s="28" t="str">
        <f aca="false">IF(INDEX(KUNCI!$B$6:$B$45,V$5)="","",UPPER(INDEX(KUNCI!$B$6:$B$45,V$5)))</f>
        <v>A</v>
      </c>
      <c r="W4" s="28" t="str">
        <f aca="false">IF(INDEX(KUNCI!$B$6:$B$45,W$5)="","",UPPER(INDEX(KUNCI!$B$6:$B$45,W$5)))</f>
        <v>C</v>
      </c>
      <c r="X4" s="28" t="str">
        <f aca="false">IF(INDEX(KUNCI!$B$6:$B$45,X$5)="","",UPPER(INDEX(KUNCI!$B$6:$B$45,X$5)))</f>
        <v>B</v>
      </c>
      <c r="Y4" s="28" t="str">
        <f aca="false">IF(INDEX(KUNCI!$B$6:$B$45,Y$5)="","",UPPER(INDEX(KUNCI!$B$6:$B$45,Y$5)))</f>
        <v>D</v>
      </c>
      <c r="Z4" s="28" t="str">
        <f aca="false">IF(INDEX(KUNCI!$B$6:$B$45,Z$5)="","",UPPER(INDEX(KUNCI!$B$6:$B$45,Z$5)))</f>
        <v>D</v>
      </c>
      <c r="AA4" s="28" t="str">
        <f aca="false">IF(INDEX(KUNCI!$B$6:$B$45,AA$5)="","",UPPER(INDEX(KUNCI!$B$6:$B$45,AA$5)))</f>
        <v>A</v>
      </c>
      <c r="AB4" s="28" t="str">
        <f aca="false">IF(INDEX(KUNCI!$B$6:$B$45,AB$5)="","",UPPER(INDEX(KUNCI!$B$6:$B$45,AB$5)))</f>
        <v>C</v>
      </c>
      <c r="AC4" s="28" t="str">
        <f aca="false">IF(INDEX(KUNCI!$B$6:$B$45,AC$5)="","",UPPER(INDEX(KUNCI!$B$6:$B$45,AC$5)))</f>
        <v>D</v>
      </c>
      <c r="AD4" s="28" t="str">
        <f aca="false">IF(INDEX(KUNCI!$B$6:$B$45,AD$5)="","",UPPER(INDEX(KUNCI!$B$6:$B$45,AD$5)))</f>
        <v>C</v>
      </c>
      <c r="AE4" s="28" t="str">
        <f aca="false">IF(INDEX(KUNCI!$B$6:$B$45,AE$5)="","",UPPER(INDEX(KUNCI!$B$6:$B$45,AE$5)))</f>
        <v>C</v>
      </c>
      <c r="AF4" s="28" t="str">
        <f aca="false">IF(INDEX(KUNCI!$B$6:$B$45,AF$5)="","",UPPER(INDEX(KUNCI!$B$6:$B$45,AF$5)))</f>
        <v>C</v>
      </c>
      <c r="AG4" s="28" t="str">
        <f aca="false">IF(INDEX(KUNCI!$B$6:$B$45,AG$5)="","",UPPER(INDEX(KUNCI!$B$6:$B$45,AG$5)))</f>
        <v>D</v>
      </c>
      <c r="AH4" s="28" t="str">
        <f aca="false">IF(INDEX(KUNCI!$B$6:$B$45,AH$5)="","",UPPER(INDEX(KUNCI!$B$6:$B$45,AH$5)))</f>
        <v>D</v>
      </c>
      <c r="AI4" s="28" t="str">
        <f aca="false">IF(INDEX(KUNCI!$B$6:$B$45,AI$5)="","",UPPER(INDEX(KUNCI!$B$6:$B$45,AI$5)))</f>
        <v>B</v>
      </c>
      <c r="AJ4" s="28" t="str">
        <f aca="false">IF(INDEX(KUNCI!$B$6:$B$45,AJ$5)="","",UPPER(INDEX(KUNCI!$B$6:$B$45,AJ$5)))</f>
        <v>B</v>
      </c>
      <c r="AK4" s="28" t="str">
        <f aca="false">IF(INDEX(KUNCI!$B$6:$B$45,AK$5)="","",UPPER(INDEX(KUNCI!$B$6:$B$45,AK$5)))</f>
        <v>D</v>
      </c>
      <c r="AL4" s="28" t="str">
        <f aca="false">IF(INDEX(KUNCI!$B$6:$B$45,AL$5)="","",UPPER(INDEX(KUNCI!$B$6:$B$45,AL$5)))</f>
        <v>B</v>
      </c>
      <c r="AM4" s="28" t="str">
        <f aca="false">IF(INDEX(KUNCI!$B$6:$B$45,AM$5)="","",UPPER(INDEX(KUNCI!$B$6:$B$45,AM$5)))</f>
        <v>A</v>
      </c>
      <c r="AN4" s="28" t="str">
        <f aca="false">IF(INDEX(KUNCI!$B$6:$B$45,AN$5)="","",UPPER(INDEX(KUNCI!$B$6:$B$45,AN$5)))</f>
        <v>B</v>
      </c>
      <c r="AO4" s="28" t="str">
        <f aca="false">IF(INDEX(KUNCI!$B$6:$B$45,AO$5)="","",UPPER(INDEX(KUNCI!$B$6:$B$45,AO$5)))</f>
        <v>B</v>
      </c>
      <c r="AP4" s="28" t="str">
        <f aca="false">IF(INDEX(KUNCI!$B$6:$B$45,AP$5)="","",UPPER(INDEX(KUNCI!$B$6:$B$45,AP$5)))</f>
        <v>B</v>
      </c>
      <c r="AQ4" s="28" t="str">
        <f aca="false">IF(INDEX(KUNCI!$B$6:$B$45,AQ$5)="","",UPPER(INDEX(KUNCI!$B$6:$B$45,AQ$5)))</f>
        <v>D</v>
      </c>
      <c r="AR4" s="28" t="str">
        <f aca="false">IF(INDEX(KUNCI!$B$6:$B$45,AR$5)="","",UPPER(INDEX(KUNCI!$B$6:$B$45,AR$5)))</f>
        <v>C</v>
      </c>
    </row>
    <row r="5" customFormat="false" ht="31.5" hidden="false" customHeight="true" outlineLevel="0" collapsed="false">
      <c r="A5" s="8" t="s">
        <v>47</v>
      </c>
      <c r="B5" s="8" t="s">
        <v>108</v>
      </c>
      <c r="C5" s="8" t="s">
        <v>69</v>
      </c>
      <c r="D5" s="8" t="s">
        <v>109</v>
      </c>
      <c r="E5" s="8" t="n">
        <v>1</v>
      </c>
      <c r="F5" s="8" t="n">
        <v>2</v>
      </c>
      <c r="G5" s="8" t="n">
        <v>3</v>
      </c>
      <c r="H5" s="8" t="n">
        <v>4</v>
      </c>
      <c r="I5" s="8" t="n">
        <v>5</v>
      </c>
      <c r="J5" s="8" t="n">
        <v>6</v>
      </c>
      <c r="K5" s="8" t="n">
        <v>7</v>
      </c>
      <c r="L5" s="8" t="n">
        <v>8</v>
      </c>
      <c r="M5" s="8" t="n">
        <v>9</v>
      </c>
      <c r="N5" s="8" t="n">
        <v>10</v>
      </c>
      <c r="O5" s="8" t="n">
        <v>11</v>
      </c>
      <c r="P5" s="8" t="n">
        <v>12</v>
      </c>
      <c r="Q5" s="8" t="n">
        <v>13</v>
      </c>
      <c r="R5" s="8" t="n">
        <v>14</v>
      </c>
      <c r="S5" s="8" t="n">
        <v>15</v>
      </c>
      <c r="T5" s="8" t="n">
        <v>16</v>
      </c>
      <c r="U5" s="8" t="n">
        <v>17</v>
      </c>
      <c r="V5" s="8" t="n">
        <v>18</v>
      </c>
      <c r="W5" s="8" t="n">
        <v>19</v>
      </c>
      <c r="X5" s="8" t="n">
        <v>20</v>
      </c>
      <c r="Y5" s="8" t="n">
        <v>21</v>
      </c>
      <c r="Z5" s="8" t="n">
        <v>22</v>
      </c>
      <c r="AA5" s="8" t="n">
        <v>23</v>
      </c>
      <c r="AB5" s="8" t="n">
        <v>24</v>
      </c>
      <c r="AC5" s="8" t="n">
        <v>25</v>
      </c>
      <c r="AD5" s="8" t="n">
        <v>26</v>
      </c>
      <c r="AE5" s="8" t="n">
        <v>27</v>
      </c>
      <c r="AF5" s="8" t="n">
        <v>28</v>
      </c>
      <c r="AG5" s="8" t="n">
        <v>29</v>
      </c>
      <c r="AH5" s="8" t="n">
        <v>30</v>
      </c>
      <c r="AI5" s="8" t="n">
        <v>31</v>
      </c>
      <c r="AJ5" s="8" t="n">
        <v>32</v>
      </c>
      <c r="AK5" s="8" t="n">
        <v>33</v>
      </c>
      <c r="AL5" s="8" t="n">
        <v>34</v>
      </c>
      <c r="AM5" s="8" t="n">
        <v>35</v>
      </c>
      <c r="AN5" s="8" t="n">
        <v>36</v>
      </c>
      <c r="AO5" s="8" t="n">
        <v>37</v>
      </c>
      <c r="AP5" s="8" t="n">
        <v>38</v>
      </c>
      <c r="AQ5" s="8" t="n">
        <v>39</v>
      </c>
      <c r="AR5" s="8" t="n">
        <v>40</v>
      </c>
      <c r="AS5" s="8" t="s">
        <v>174</v>
      </c>
      <c r="AT5" s="8" t="s">
        <v>175</v>
      </c>
      <c r="AU5" s="8" t="s">
        <v>176</v>
      </c>
      <c r="AV5" s="8" t="s">
        <v>177</v>
      </c>
      <c r="AW5" s="8" t="s">
        <v>178</v>
      </c>
      <c r="AX5" s="8" t="s">
        <v>179</v>
      </c>
      <c r="AY5" s="8" t="s">
        <v>180</v>
      </c>
    </row>
    <row r="6" customFormat="false" ht="15" hidden="false" customHeight="true" outlineLevel="0" collapsed="false">
      <c r="A6" s="16" t="n">
        <v>1</v>
      </c>
      <c r="B6" s="20" t="str">
        <f aca="false">IF(JAWABAN!B6="","",JAWABAN!B6)</f>
        <v>SISWA 01</v>
      </c>
      <c r="C6" s="20" t="str">
        <f aca="false">IF(JAWABAN!C6="","",JAWABAN!C6)</f>
        <v>IX G</v>
      </c>
      <c r="D6" s="29" t="str">
        <f aca="false">IF(JAWABAN!D6="","",JAWABAN!D6)</f>
        <v>0123031</v>
      </c>
      <c r="E6" s="16" t="n">
        <f aca="false">IF(OR($B6="",E$4=""),"",IF(UPPER(TRIM(JAWABAN!E6))=E$4,1,0))</f>
        <v>1</v>
      </c>
      <c r="F6" s="16" t="n">
        <f aca="false">IF(OR($B6="",F$4=""),"",IF(UPPER(TRIM(JAWABAN!F6))=F$4,1,0))</f>
        <v>0</v>
      </c>
      <c r="G6" s="16" t="n">
        <f aca="false">IF(OR($B6="",G$4=""),"",IF(UPPER(TRIM(JAWABAN!G6))=G$4,1,0))</f>
        <v>1</v>
      </c>
      <c r="H6" s="16" t="n">
        <f aca="false">IF(OR($B6="",H$4=""),"",IF(UPPER(TRIM(JAWABAN!H6))=H$4,1,0))</f>
        <v>0</v>
      </c>
      <c r="I6" s="16" t="n">
        <f aca="false">IF(OR($B6="",I$4=""),"",IF(UPPER(TRIM(JAWABAN!I6))=I$4,1,0))</f>
        <v>1</v>
      </c>
      <c r="J6" s="16" t="n">
        <f aca="false">IF(OR($B6="",J$4=""),"",IF(UPPER(TRIM(JAWABAN!J6))=J$4,1,0))</f>
        <v>0</v>
      </c>
      <c r="K6" s="16" t="n">
        <f aca="false">IF(OR($B6="",K$4=""),"",IF(UPPER(TRIM(JAWABAN!K6))=K$4,1,0))</f>
        <v>0</v>
      </c>
      <c r="L6" s="16" t="n">
        <f aca="false">IF(OR($B6="",L$4=""),"",IF(UPPER(TRIM(JAWABAN!L6))=L$4,1,0))</f>
        <v>1</v>
      </c>
      <c r="M6" s="16" t="n">
        <f aca="false">IF(OR($B6="",M$4=""),"",IF(UPPER(TRIM(JAWABAN!M6))=M$4,1,0))</f>
        <v>0</v>
      </c>
      <c r="N6" s="16" t="n">
        <f aca="false">IF(OR($B6="",N$4=""),"",IF(UPPER(TRIM(JAWABAN!N6))=N$4,1,0))</f>
        <v>0</v>
      </c>
      <c r="O6" s="16" t="n">
        <f aca="false">IF(OR($B6="",O$4=""),"",IF(UPPER(TRIM(JAWABAN!O6))=O$4,1,0))</f>
        <v>0</v>
      </c>
      <c r="P6" s="16" t="n">
        <f aca="false">IF(OR($B6="",P$4=""),"",IF(UPPER(TRIM(JAWABAN!P6))=P$4,1,0))</f>
        <v>0</v>
      </c>
      <c r="Q6" s="16" t="n">
        <f aca="false">IF(OR($B6="",Q$4=""),"",IF(UPPER(TRIM(JAWABAN!Q6))=Q$4,1,0))</f>
        <v>1</v>
      </c>
      <c r="R6" s="16" t="n">
        <f aca="false">IF(OR($B6="",R$4=""),"",IF(UPPER(TRIM(JAWABAN!R6))=R$4,1,0))</f>
        <v>0</v>
      </c>
      <c r="S6" s="16" t="n">
        <f aca="false">IF(OR($B6="",S$4=""),"",IF(UPPER(TRIM(JAWABAN!S6))=S$4,1,0))</f>
        <v>0</v>
      </c>
      <c r="T6" s="16" t="n">
        <f aca="false">IF(OR($B6="",T$4=""),"",IF(UPPER(TRIM(JAWABAN!T6))=T$4,1,0))</f>
        <v>0</v>
      </c>
      <c r="U6" s="16" t="n">
        <f aca="false">IF(OR($B6="",U$4=""),"",IF(UPPER(TRIM(JAWABAN!U6))=U$4,1,0))</f>
        <v>1</v>
      </c>
      <c r="V6" s="16" t="n">
        <f aca="false">IF(OR($B6="",V$4=""),"",IF(UPPER(TRIM(JAWABAN!V6))=V$4,1,0))</f>
        <v>0</v>
      </c>
      <c r="W6" s="16" t="n">
        <f aca="false">IF(OR($B6="",W$4=""),"",IF(UPPER(TRIM(JAWABAN!W6))=W$4,1,0))</f>
        <v>0</v>
      </c>
      <c r="X6" s="16" t="n">
        <f aca="false">IF(OR($B6="",X$4=""),"",IF(UPPER(TRIM(JAWABAN!X6))=X$4,1,0))</f>
        <v>0</v>
      </c>
      <c r="Y6" s="16" t="n">
        <f aca="false">IF(OR($B6="",Y$4=""),"",IF(UPPER(TRIM(JAWABAN!Y6))=Y$4,1,0))</f>
        <v>1</v>
      </c>
      <c r="Z6" s="16" t="n">
        <f aca="false">IF(OR($B6="",Z$4=""),"",IF(UPPER(TRIM(JAWABAN!Z6))=Z$4,1,0))</f>
        <v>1</v>
      </c>
      <c r="AA6" s="16" t="n">
        <f aca="false">IF(OR($B6="",AA$4=""),"",IF(UPPER(TRIM(JAWABAN!AA6))=AA$4,1,0))</f>
        <v>0</v>
      </c>
      <c r="AB6" s="16" t="n">
        <f aca="false">IF(OR($B6="",AB$4=""),"",IF(UPPER(TRIM(JAWABAN!AB6))=AB$4,1,0))</f>
        <v>0</v>
      </c>
      <c r="AC6" s="16" t="n">
        <f aca="false">IF(OR($B6="",AC$4=""),"",IF(UPPER(TRIM(JAWABAN!AC6))=AC$4,1,0))</f>
        <v>0</v>
      </c>
      <c r="AD6" s="16" t="n">
        <f aca="false">IF(OR($B6="",AD$4=""),"",IF(UPPER(TRIM(JAWABAN!AD6))=AD$4,1,0))</f>
        <v>1</v>
      </c>
      <c r="AE6" s="16" t="n">
        <f aca="false">IF(OR($B6="",AE$4=""),"",IF(UPPER(TRIM(JAWABAN!AE6))=AE$4,1,0))</f>
        <v>0</v>
      </c>
      <c r="AF6" s="16" t="n">
        <f aca="false">IF(OR($B6="",AF$4=""),"",IF(UPPER(TRIM(JAWABAN!AF6))=AF$4,1,0))</f>
        <v>0</v>
      </c>
      <c r="AG6" s="16" t="n">
        <f aca="false">IF(OR($B6="",AG$4=""),"",IF(UPPER(TRIM(JAWABAN!AG6))=AG$4,1,0))</f>
        <v>1</v>
      </c>
      <c r="AH6" s="16" t="n">
        <f aca="false">IF(OR($B6="",AH$4=""),"",IF(UPPER(TRIM(JAWABAN!AH6))=AH$4,1,0))</f>
        <v>1</v>
      </c>
      <c r="AI6" s="16" t="n">
        <f aca="false">IF(OR($B6="",AI$4=""),"",IF(UPPER(TRIM(JAWABAN!AI6))=AI$4,1,0))</f>
        <v>0</v>
      </c>
      <c r="AJ6" s="16" t="n">
        <f aca="false">IF(OR($B6="",AJ$4=""),"",IF(UPPER(TRIM(JAWABAN!AJ6))=AJ$4,1,0))</f>
        <v>0</v>
      </c>
      <c r="AK6" s="16" t="n">
        <f aca="false">IF(OR($B6="",AK$4=""),"",IF(UPPER(TRIM(JAWABAN!AK6))=AK$4,1,0))</f>
        <v>0</v>
      </c>
      <c r="AL6" s="16" t="n">
        <f aca="false">IF(OR($B6="",AL$4=""),"",IF(UPPER(TRIM(JAWABAN!AL6))=AL$4,1,0))</f>
        <v>1</v>
      </c>
      <c r="AM6" s="16" t="n">
        <f aca="false">IF(OR($B6="",AM$4=""),"",IF(UPPER(TRIM(JAWABAN!AM6))=AM$4,1,0))</f>
        <v>0</v>
      </c>
      <c r="AN6" s="16" t="n">
        <f aca="false">IF(OR($B6="",AN$4=""),"",IF(UPPER(TRIM(JAWABAN!AN6))=AN$4,1,0))</f>
        <v>1</v>
      </c>
      <c r="AO6" s="16" t="n">
        <f aca="false">IF(OR($B6="",AO$4=""),"",IF(UPPER(TRIM(JAWABAN!AO6))=AO$4,1,0))</f>
        <v>0</v>
      </c>
      <c r="AP6" s="16" t="n">
        <f aca="false">IF(OR($B6="",AP$4=""),"",IF(UPPER(TRIM(JAWABAN!AP6))=AP$4,1,0))</f>
        <v>1</v>
      </c>
      <c r="AQ6" s="16" t="n">
        <f aca="false">IF(OR($B6="",AQ$4=""),"",IF(UPPER(TRIM(JAWABAN!AQ6))=AQ$4,1,0))</f>
        <v>0</v>
      </c>
      <c r="AR6" s="16" t="n">
        <f aca="false">IF(OR($B6="",AR$4=""),"",IF(UPPER(TRIM(JAWABAN!AR6))=AR$4,1,0))</f>
        <v>0</v>
      </c>
      <c r="AS6" s="30" t="n">
        <f aca="false">IF($B6="","",SUM(E6:AR6))</f>
        <v>14</v>
      </c>
      <c r="AT6" s="31" t="n">
        <f aca="false">IF(AS6="","",IFERROR(ROUND(AS6/K_SOAL*100,2),""))</f>
        <v>35</v>
      </c>
      <c r="AU6" s="16" t="str">
        <f aca="false">IF(AT6="","",IF(AT6&gt;=NILAI_KKM,"Tuntas","Belum tuntas"))</f>
        <v>Belum tuntas</v>
      </c>
      <c r="AV6" s="32" t="n">
        <f aca="false">IF(AS6="","",AS6+(1000-ROW())/100000)</f>
        <v>14.00994</v>
      </c>
      <c r="AW6" s="33" t="n">
        <f aca="false">IF(AV6="","",RANK(AV6,$AV$6:$AV$55))</f>
        <v>30</v>
      </c>
      <c r="AX6" s="30" t="n">
        <f aca="false">IF(AS6="","",RANK(AS6,$AS$6:$AS$55))</f>
        <v>30</v>
      </c>
      <c r="AY6" s="16" t="str">
        <f aca="false">IF(AW6="","",IF(AW6&lt;=N_GRUP,"Atas",IF(AW6&gt;N_SISWA-N_GRUP,"Bawah","Tengah")))</f>
        <v>Bawah</v>
      </c>
    </row>
    <row r="7" customFormat="false" ht="15" hidden="false" customHeight="true" outlineLevel="0" collapsed="false">
      <c r="A7" s="16" t="n">
        <v>2</v>
      </c>
      <c r="B7" s="20" t="str">
        <f aca="false">IF(JAWABAN!B7="","",JAWABAN!B7)</f>
        <v>SISWA 02</v>
      </c>
      <c r="C7" s="20" t="str">
        <f aca="false">IF(JAWABAN!C7="","",JAWABAN!C7)</f>
        <v>IX G</v>
      </c>
      <c r="D7" s="29" t="str">
        <f aca="false">IF(JAWABAN!D7="","",JAWABAN!D7)</f>
        <v>0123030</v>
      </c>
      <c r="E7" s="16" t="n">
        <f aca="false">IF(OR($B7="",E$4=""),"",IF(UPPER(TRIM(JAWABAN!E7))=E$4,1,0))</f>
        <v>0</v>
      </c>
      <c r="F7" s="16" t="n">
        <f aca="false">IF(OR($B7="",F$4=""),"",IF(UPPER(TRIM(JAWABAN!F7))=F$4,1,0))</f>
        <v>1</v>
      </c>
      <c r="G7" s="16" t="n">
        <f aca="false">IF(OR($B7="",G$4=""),"",IF(UPPER(TRIM(JAWABAN!G7))=G$4,1,0))</f>
        <v>0</v>
      </c>
      <c r="H7" s="16" t="n">
        <f aca="false">IF(OR($B7="",H$4=""),"",IF(UPPER(TRIM(JAWABAN!H7))=H$4,1,0))</f>
        <v>1</v>
      </c>
      <c r="I7" s="16" t="n">
        <f aca="false">IF(OR($B7="",I$4=""),"",IF(UPPER(TRIM(JAWABAN!I7))=I$4,1,0))</f>
        <v>1</v>
      </c>
      <c r="J7" s="16" t="n">
        <f aca="false">IF(OR($B7="",J$4=""),"",IF(UPPER(TRIM(JAWABAN!J7))=J$4,1,0))</f>
        <v>1</v>
      </c>
      <c r="K7" s="16" t="n">
        <f aca="false">IF(OR($B7="",K$4=""),"",IF(UPPER(TRIM(JAWABAN!K7))=K$4,1,0))</f>
        <v>1</v>
      </c>
      <c r="L7" s="16" t="n">
        <f aca="false">IF(OR($B7="",L$4=""),"",IF(UPPER(TRIM(JAWABAN!L7))=L$4,1,0))</f>
        <v>1</v>
      </c>
      <c r="M7" s="16" t="n">
        <f aca="false">IF(OR($B7="",M$4=""),"",IF(UPPER(TRIM(JAWABAN!M7))=M$4,1,0))</f>
        <v>1</v>
      </c>
      <c r="N7" s="16" t="n">
        <f aca="false">IF(OR($B7="",N$4=""),"",IF(UPPER(TRIM(JAWABAN!N7))=N$4,1,0))</f>
        <v>0</v>
      </c>
      <c r="O7" s="16" t="n">
        <f aca="false">IF(OR($B7="",O$4=""),"",IF(UPPER(TRIM(JAWABAN!O7))=O$4,1,0))</f>
        <v>1</v>
      </c>
      <c r="P7" s="16" t="n">
        <f aca="false">IF(OR($B7="",P$4=""),"",IF(UPPER(TRIM(JAWABAN!P7))=P$4,1,0))</f>
        <v>1</v>
      </c>
      <c r="Q7" s="16" t="n">
        <f aca="false">IF(OR($B7="",Q$4=""),"",IF(UPPER(TRIM(JAWABAN!Q7))=Q$4,1,0))</f>
        <v>1</v>
      </c>
      <c r="R7" s="16" t="n">
        <f aca="false">IF(OR($B7="",R$4=""),"",IF(UPPER(TRIM(JAWABAN!R7))=R$4,1,0))</f>
        <v>1</v>
      </c>
      <c r="S7" s="16" t="n">
        <f aca="false">IF(OR($B7="",S$4=""),"",IF(UPPER(TRIM(JAWABAN!S7))=S$4,1,0))</f>
        <v>1</v>
      </c>
      <c r="T7" s="16" t="n">
        <f aca="false">IF(OR($B7="",T$4=""),"",IF(UPPER(TRIM(JAWABAN!T7))=T$4,1,0))</f>
        <v>1</v>
      </c>
      <c r="U7" s="16" t="n">
        <f aca="false">IF(OR($B7="",U$4=""),"",IF(UPPER(TRIM(JAWABAN!U7))=U$4,1,0))</f>
        <v>1</v>
      </c>
      <c r="V7" s="16" t="n">
        <f aca="false">IF(OR($B7="",V$4=""),"",IF(UPPER(TRIM(JAWABAN!V7))=V$4,1,0))</f>
        <v>1</v>
      </c>
      <c r="W7" s="16" t="n">
        <f aca="false">IF(OR($B7="",W$4=""),"",IF(UPPER(TRIM(JAWABAN!W7))=W$4,1,0))</f>
        <v>1</v>
      </c>
      <c r="X7" s="16" t="n">
        <f aca="false">IF(OR($B7="",X$4=""),"",IF(UPPER(TRIM(JAWABAN!X7))=X$4,1,0))</f>
        <v>1</v>
      </c>
      <c r="Y7" s="16" t="n">
        <f aca="false">IF(OR($B7="",Y$4=""),"",IF(UPPER(TRIM(JAWABAN!Y7))=Y$4,1,0))</f>
        <v>1</v>
      </c>
      <c r="Z7" s="16" t="n">
        <f aca="false">IF(OR($B7="",Z$4=""),"",IF(UPPER(TRIM(JAWABAN!Z7))=Z$4,1,0))</f>
        <v>1</v>
      </c>
      <c r="AA7" s="16" t="n">
        <f aca="false">IF(OR($B7="",AA$4=""),"",IF(UPPER(TRIM(JAWABAN!AA7))=AA$4,1,0))</f>
        <v>1</v>
      </c>
      <c r="AB7" s="16" t="n">
        <f aca="false">IF(OR($B7="",AB$4=""),"",IF(UPPER(TRIM(JAWABAN!AB7))=AB$4,1,0))</f>
        <v>1</v>
      </c>
      <c r="AC7" s="16" t="n">
        <f aca="false">IF(OR($B7="",AC$4=""),"",IF(UPPER(TRIM(JAWABAN!AC7))=AC$4,1,0))</f>
        <v>1</v>
      </c>
      <c r="AD7" s="16" t="n">
        <f aca="false">IF(OR($B7="",AD$4=""),"",IF(UPPER(TRIM(JAWABAN!AD7))=AD$4,1,0))</f>
        <v>0</v>
      </c>
      <c r="AE7" s="16" t="n">
        <f aca="false">IF(OR($B7="",AE$4=""),"",IF(UPPER(TRIM(JAWABAN!AE7))=AE$4,1,0))</f>
        <v>0</v>
      </c>
      <c r="AF7" s="16" t="n">
        <f aca="false">IF(OR($B7="",AF$4=""),"",IF(UPPER(TRIM(JAWABAN!AF7))=AF$4,1,0))</f>
        <v>1</v>
      </c>
      <c r="AG7" s="16" t="n">
        <f aca="false">IF(OR($B7="",AG$4=""),"",IF(UPPER(TRIM(JAWABAN!AG7))=AG$4,1,0))</f>
        <v>1</v>
      </c>
      <c r="AH7" s="16" t="n">
        <f aca="false">IF(OR($B7="",AH$4=""),"",IF(UPPER(TRIM(JAWABAN!AH7))=AH$4,1,0))</f>
        <v>1</v>
      </c>
      <c r="AI7" s="16" t="n">
        <f aca="false">IF(OR($B7="",AI$4=""),"",IF(UPPER(TRIM(JAWABAN!AI7))=AI$4,1,0))</f>
        <v>0</v>
      </c>
      <c r="AJ7" s="16" t="n">
        <f aca="false">IF(OR($B7="",AJ$4=""),"",IF(UPPER(TRIM(JAWABAN!AJ7))=AJ$4,1,0))</f>
        <v>1</v>
      </c>
      <c r="AK7" s="16" t="n">
        <f aca="false">IF(OR($B7="",AK$4=""),"",IF(UPPER(TRIM(JAWABAN!AK7))=AK$4,1,0))</f>
        <v>1</v>
      </c>
      <c r="AL7" s="16" t="n">
        <f aca="false">IF(OR($B7="",AL$4=""),"",IF(UPPER(TRIM(JAWABAN!AL7))=AL$4,1,0))</f>
        <v>1</v>
      </c>
      <c r="AM7" s="16" t="n">
        <f aca="false">IF(OR($B7="",AM$4=""),"",IF(UPPER(TRIM(JAWABAN!AM7))=AM$4,1,0))</f>
        <v>1</v>
      </c>
      <c r="AN7" s="16" t="n">
        <f aca="false">IF(OR($B7="",AN$4=""),"",IF(UPPER(TRIM(JAWABAN!AN7))=AN$4,1,0))</f>
        <v>1</v>
      </c>
      <c r="AO7" s="16" t="n">
        <f aca="false">IF(OR($B7="",AO$4=""),"",IF(UPPER(TRIM(JAWABAN!AO7))=AO$4,1,0))</f>
        <v>1</v>
      </c>
      <c r="AP7" s="16" t="n">
        <f aca="false">IF(OR($B7="",AP$4=""),"",IF(UPPER(TRIM(JAWABAN!AP7))=AP$4,1,0))</f>
        <v>0</v>
      </c>
      <c r="AQ7" s="16" t="n">
        <f aca="false">IF(OR($B7="",AQ$4=""),"",IF(UPPER(TRIM(JAWABAN!AQ7))=AQ$4,1,0))</f>
        <v>1</v>
      </c>
      <c r="AR7" s="16" t="n">
        <f aca="false">IF(OR($B7="",AR$4=""),"",IF(UPPER(TRIM(JAWABAN!AR7))=AR$4,1,0))</f>
        <v>1</v>
      </c>
      <c r="AS7" s="30" t="n">
        <f aca="false">IF($B7="","",SUM(E7:AR7))</f>
        <v>33</v>
      </c>
      <c r="AT7" s="31" t="n">
        <f aca="false">IF(AS7="","",IFERROR(ROUND(AS7/K_SOAL*100,2),""))</f>
        <v>82.5</v>
      </c>
      <c r="AU7" s="16" t="str">
        <f aca="false">IF(AT7="","",IF(AT7&gt;=NILAI_KKM,"Tuntas","Belum tuntas"))</f>
        <v>Tuntas</v>
      </c>
      <c r="AV7" s="32" t="n">
        <f aca="false">IF(AS7="","",AS7+(1000-ROW())/100000)</f>
        <v>33.00993</v>
      </c>
      <c r="AW7" s="33" t="n">
        <f aca="false">IF(AV7="","",RANK(AV7,$AV$6:$AV$55))</f>
        <v>2</v>
      </c>
      <c r="AX7" s="30" t="n">
        <f aca="false">IF(AS7="","",RANK(AS7,$AS$6:$AS$55))</f>
        <v>2</v>
      </c>
      <c r="AY7" s="16" t="str">
        <f aca="false">IF(AW7="","",IF(AW7&lt;=N_GRUP,"Atas",IF(AW7&gt;N_SISWA-N_GRUP,"Bawah","Tengah")))</f>
        <v>Atas</v>
      </c>
    </row>
    <row r="8" customFormat="false" ht="15" hidden="false" customHeight="true" outlineLevel="0" collapsed="false">
      <c r="A8" s="16" t="n">
        <v>3</v>
      </c>
      <c r="B8" s="20" t="str">
        <f aca="false">IF(JAWABAN!B8="","",JAWABAN!B8)</f>
        <v>SISWA 03</v>
      </c>
      <c r="C8" s="20" t="str">
        <f aca="false">IF(JAWABAN!C8="","",JAWABAN!C8)</f>
        <v>IX G</v>
      </c>
      <c r="D8" s="29" t="str">
        <f aca="false">IF(JAWABAN!D8="","",JAWABAN!D8)</f>
        <v>0123029</v>
      </c>
      <c r="E8" s="16" t="n">
        <f aca="false">IF(OR($B8="",E$4=""),"",IF(UPPER(TRIM(JAWABAN!E8))=E$4,1,0))</f>
        <v>0</v>
      </c>
      <c r="F8" s="16" t="n">
        <f aca="false">IF(OR($B8="",F$4=""),"",IF(UPPER(TRIM(JAWABAN!F8))=F$4,1,0))</f>
        <v>0</v>
      </c>
      <c r="G8" s="16" t="n">
        <f aca="false">IF(OR($B8="",G$4=""),"",IF(UPPER(TRIM(JAWABAN!G8))=G$4,1,0))</f>
        <v>0</v>
      </c>
      <c r="H8" s="16" t="n">
        <f aca="false">IF(OR($B8="",H$4=""),"",IF(UPPER(TRIM(JAWABAN!H8))=H$4,1,0))</f>
        <v>1</v>
      </c>
      <c r="I8" s="16" t="n">
        <f aca="false">IF(OR($B8="",I$4=""),"",IF(UPPER(TRIM(JAWABAN!I8))=I$4,1,0))</f>
        <v>0</v>
      </c>
      <c r="J8" s="16" t="n">
        <f aca="false">IF(OR($B8="",J$4=""),"",IF(UPPER(TRIM(JAWABAN!J8))=J$4,1,0))</f>
        <v>0</v>
      </c>
      <c r="K8" s="16" t="n">
        <f aca="false">IF(OR($B8="",K$4=""),"",IF(UPPER(TRIM(JAWABAN!K8))=K$4,1,0))</f>
        <v>0</v>
      </c>
      <c r="L8" s="16" t="n">
        <f aca="false">IF(OR($B8="",L$4=""),"",IF(UPPER(TRIM(JAWABAN!L8))=L$4,1,0))</f>
        <v>1</v>
      </c>
      <c r="M8" s="16" t="n">
        <f aca="false">IF(OR($B8="",M$4=""),"",IF(UPPER(TRIM(JAWABAN!M8))=M$4,1,0))</f>
        <v>1</v>
      </c>
      <c r="N8" s="16" t="n">
        <f aca="false">IF(OR($B8="",N$4=""),"",IF(UPPER(TRIM(JAWABAN!N8))=N$4,1,0))</f>
        <v>0</v>
      </c>
      <c r="O8" s="16" t="n">
        <f aca="false">IF(OR($B8="",O$4=""),"",IF(UPPER(TRIM(JAWABAN!O8))=O$4,1,0))</f>
        <v>0</v>
      </c>
      <c r="P8" s="16" t="n">
        <f aca="false">IF(OR($B8="",P$4=""),"",IF(UPPER(TRIM(JAWABAN!P8))=P$4,1,0))</f>
        <v>1</v>
      </c>
      <c r="Q8" s="16" t="n">
        <f aca="false">IF(OR($B8="",Q$4=""),"",IF(UPPER(TRIM(JAWABAN!Q8))=Q$4,1,0))</f>
        <v>1</v>
      </c>
      <c r="R8" s="16" t="n">
        <f aca="false">IF(OR($B8="",R$4=""),"",IF(UPPER(TRIM(JAWABAN!R8))=R$4,1,0))</f>
        <v>1</v>
      </c>
      <c r="S8" s="16" t="n">
        <f aca="false">IF(OR($B8="",S$4=""),"",IF(UPPER(TRIM(JAWABAN!S8))=S$4,1,0))</f>
        <v>0</v>
      </c>
      <c r="T8" s="16" t="n">
        <f aca="false">IF(OR($B8="",T$4=""),"",IF(UPPER(TRIM(JAWABAN!T8))=T$4,1,0))</f>
        <v>1</v>
      </c>
      <c r="U8" s="16" t="n">
        <f aca="false">IF(OR($B8="",U$4=""),"",IF(UPPER(TRIM(JAWABAN!U8))=U$4,1,0))</f>
        <v>0</v>
      </c>
      <c r="V8" s="16" t="n">
        <f aca="false">IF(OR($B8="",V$4=""),"",IF(UPPER(TRIM(JAWABAN!V8))=V$4,1,0))</f>
        <v>0</v>
      </c>
      <c r="W8" s="16" t="n">
        <f aca="false">IF(OR($B8="",W$4=""),"",IF(UPPER(TRIM(JAWABAN!W8))=W$4,1,0))</f>
        <v>1</v>
      </c>
      <c r="X8" s="16" t="n">
        <f aca="false">IF(OR($B8="",X$4=""),"",IF(UPPER(TRIM(JAWABAN!X8))=X$4,1,0))</f>
        <v>0</v>
      </c>
      <c r="Y8" s="16" t="n">
        <f aca="false">IF(OR($B8="",Y$4=""),"",IF(UPPER(TRIM(JAWABAN!Y8))=Y$4,1,0))</f>
        <v>0</v>
      </c>
      <c r="Z8" s="16" t="n">
        <f aca="false">IF(OR($B8="",Z$4=""),"",IF(UPPER(TRIM(JAWABAN!Z8))=Z$4,1,0))</f>
        <v>1</v>
      </c>
      <c r="AA8" s="16" t="n">
        <f aca="false">IF(OR($B8="",AA$4=""),"",IF(UPPER(TRIM(JAWABAN!AA8))=AA$4,1,0))</f>
        <v>1</v>
      </c>
      <c r="AB8" s="16" t="n">
        <f aca="false">IF(OR($B8="",AB$4=""),"",IF(UPPER(TRIM(JAWABAN!AB8))=AB$4,1,0))</f>
        <v>1</v>
      </c>
      <c r="AC8" s="16" t="n">
        <f aca="false">IF(OR($B8="",AC$4=""),"",IF(UPPER(TRIM(JAWABAN!AC8))=AC$4,1,0))</f>
        <v>1</v>
      </c>
      <c r="AD8" s="16" t="n">
        <f aca="false">IF(OR($B8="",AD$4=""),"",IF(UPPER(TRIM(JAWABAN!AD8))=AD$4,1,0))</f>
        <v>0</v>
      </c>
      <c r="AE8" s="16" t="n">
        <f aca="false">IF(OR($B8="",AE$4=""),"",IF(UPPER(TRIM(JAWABAN!AE8))=AE$4,1,0))</f>
        <v>1</v>
      </c>
      <c r="AF8" s="16" t="n">
        <f aca="false">IF(OR($B8="",AF$4=""),"",IF(UPPER(TRIM(JAWABAN!AF8))=AF$4,1,0))</f>
        <v>0</v>
      </c>
      <c r="AG8" s="16" t="n">
        <f aca="false">IF(OR($B8="",AG$4=""),"",IF(UPPER(TRIM(JAWABAN!AG8))=AG$4,1,0))</f>
        <v>0</v>
      </c>
      <c r="AH8" s="16" t="n">
        <f aca="false">IF(OR($B8="",AH$4=""),"",IF(UPPER(TRIM(JAWABAN!AH8))=AH$4,1,0))</f>
        <v>0</v>
      </c>
      <c r="AI8" s="16" t="n">
        <f aca="false">IF(OR($B8="",AI$4=""),"",IF(UPPER(TRIM(JAWABAN!AI8))=AI$4,1,0))</f>
        <v>1</v>
      </c>
      <c r="AJ8" s="16" t="n">
        <f aca="false">IF(OR($B8="",AJ$4=""),"",IF(UPPER(TRIM(JAWABAN!AJ8))=AJ$4,1,0))</f>
        <v>0</v>
      </c>
      <c r="AK8" s="16" t="n">
        <f aca="false">IF(OR($B8="",AK$4=""),"",IF(UPPER(TRIM(JAWABAN!AK8))=AK$4,1,0))</f>
        <v>0</v>
      </c>
      <c r="AL8" s="16" t="n">
        <f aca="false">IF(OR($B8="",AL$4=""),"",IF(UPPER(TRIM(JAWABAN!AL8))=AL$4,1,0))</f>
        <v>1</v>
      </c>
      <c r="AM8" s="16" t="n">
        <f aca="false">IF(OR($B8="",AM$4=""),"",IF(UPPER(TRIM(JAWABAN!AM8))=AM$4,1,0))</f>
        <v>1</v>
      </c>
      <c r="AN8" s="16" t="n">
        <f aca="false">IF(OR($B8="",AN$4=""),"",IF(UPPER(TRIM(JAWABAN!AN8))=AN$4,1,0))</f>
        <v>1</v>
      </c>
      <c r="AO8" s="16" t="n">
        <f aca="false">IF(OR($B8="",AO$4=""),"",IF(UPPER(TRIM(JAWABAN!AO8))=AO$4,1,0))</f>
        <v>0</v>
      </c>
      <c r="AP8" s="16" t="n">
        <f aca="false">IF(OR($B8="",AP$4=""),"",IF(UPPER(TRIM(JAWABAN!AP8))=AP$4,1,0))</f>
        <v>0</v>
      </c>
      <c r="AQ8" s="16" t="n">
        <f aca="false">IF(OR($B8="",AQ$4=""),"",IF(UPPER(TRIM(JAWABAN!AQ8))=AQ$4,1,0))</f>
        <v>1</v>
      </c>
      <c r="AR8" s="16" t="n">
        <f aca="false">IF(OR($B8="",AR$4=""),"",IF(UPPER(TRIM(JAWABAN!AR8))=AR$4,1,0))</f>
        <v>0</v>
      </c>
      <c r="AS8" s="30" t="n">
        <f aca="false">IF($B8="","",SUM(E8:AR8))</f>
        <v>18</v>
      </c>
      <c r="AT8" s="31" t="n">
        <f aca="false">IF(AS8="","",IFERROR(ROUND(AS8/K_SOAL*100,2),""))</f>
        <v>45</v>
      </c>
      <c r="AU8" s="16" t="str">
        <f aca="false">IF(AT8="","",IF(AT8&gt;=NILAI_KKM,"Tuntas","Belum tuntas"))</f>
        <v>Belum tuntas</v>
      </c>
      <c r="AV8" s="32" t="n">
        <f aca="false">IF(AS8="","",AS8+(1000-ROW())/100000)</f>
        <v>18.00992</v>
      </c>
      <c r="AW8" s="33" t="n">
        <f aca="false">IF(AV8="","",RANK(AV8,$AV$6:$AV$55))</f>
        <v>26</v>
      </c>
      <c r="AX8" s="30" t="n">
        <f aca="false">IF(AS8="","",RANK(AS8,$AS$6:$AS$55))</f>
        <v>26</v>
      </c>
      <c r="AY8" s="16" t="str">
        <f aca="false">IF(AW8="","",IF(AW8&lt;=N_GRUP,"Atas",IF(AW8&gt;N_SISWA-N_GRUP,"Bawah","Tengah")))</f>
        <v>Bawah</v>
      </c>
    </row>
    <row r="9" customFormat="false" ht="15" hidden="false" customHeight="true" outlineLevel="0" collapsed="false">
      <c r="A9" s="16" t="n">
        <v>4</v>
      </c>
      <c r="B9" s="20" t="str">
        <f aca="false">IF(JAWABAN!B9="","",JAWABAN!B9)</f>
        <v>SISWA 04</v>
      </c>
      <c r="C9" s="20" t="str">
        <f aca="false">IF(JAWABAN!C9="","",JAWABAN!C9)</f>
        <v>IX G</v>
      </c>
      <c r="D9" s="29" t="str">
        <f aca="false">IF(JAWABAN!D9="","",JAWABAN!D9)</f>
        <v>0123028</v>
      </c>
      <c r="E9" s="16" t="n">
        <f aca="false">IF(OR($B9="",E$4=""),"",IF(UPPER(TRIM(JAWABAN!E9))=E$4,1,0))</f>
        <v>0</v>
      </c>
      <c r="F9" s="16" t="n">
        <f aca="false">IF(OR($B9="",F$4=""),"",IF(UPPER(TRIM(JAWABAN!F9))=F$4,1,0))</f>
        <v>0</v>
      </c>
      <c r="G9" s="16" t="n">
        <f aca="false">IF(OR($B9="",G$4=""),"",IF(UPPER(TRIM(JAWABAN!G9))=G$4,1,0))</f>
        <v>1</v>
      </c>
      <c r="H9" s="16" t="n">
        <f aca="false">IF(OR($B9="",H$4=""),"",IF(UPPER(TRIM(JAWABAN!H9))=H$4,1,0))</f>
        <v>1</v>
      </c>
      <c r="I9" s="16" t="n">
        <f aca="false">IF(OR($B9="",I$4=""),"",IF(UPPER(TRIM(JAWABAN!I9))=I$4,1,0))</f>
        <v>0</v>
      </c>
      <c r="J9" s="16" t="n">
        <f aca="false">IF(OR($B9="",J$4=""),"",IF(UPPER(TRIM(JAWABAN!J9))=J$4,1,0))</f>
        <v>0</v>
      </c>
      <c r="K9" s="16" t="n">
        <f aca="false">IF(OR($B9="",K$4=""),"",IF(UPPER(TRIM(JAWABAN!K9))=K$4,1,0))</f>
        <v>1</v>
      </c>
      <c r="L9" s="16" t="n">
        <f aca="false">IF(OR($B9="",L$4=""),"",IF(UPPER(TRIM(JAWABAN!L9))=L$4,1,0))</f>
        <v>1</v>
      </c>
      <c r="M9" s="16" t="n">
        <f aca="false">IF(OR($B9="",M$4=""),"",IF(UPPER(TRIM(JAWABAN!M9))=M$4,1,0))</f>
        <v>1</v>
      </c>
      <c r="N9" s="16" t="n">
        <f aca="false">IF(OR($B9="",N$4=""),"",IF(UPPER(TRIM(JAWABAN!N9))=N$4,1,0))</f>
        <v>1</v>
      </c>
      <c r="O9" s="16" t="n">
        <f aca="false">IF(OR($B9="",O$4=""),"",IF(UPPER(TRIM(JAWABAN!O9))=O$4,1,0))</f>
        <v>1</v>
      </c>
      <c r="P9" s="16" t="n">
        <f aca="false">IF(OR($B9="",P$4=""),"",IF(UPPER(TRIM(JAWABAN!P9))=P$4,1,0))</f>
        <v>0</v>
      </c>
      <c r="Q9" s="16" t="n">
        <f aca="false">IF(OR($B9="",Q$4=""),"",IF(UPPER(TRIM(JAWABAN!Q9))=Q$4,1,0))</f>
        <v>1</v>
      </c>
      <c r="R9" s="16" t="n">
        <f aca="false">IF(OR($B9="",R$4=""),"",IF(UPPER(TRIM(JAWABAN!R9))=R$4,1,0))</f>
        <v>0</v>
      </c>
      <c r="S9" s="16" t="n">
        <f aca="false">IF(OR($B9="",S$4=""),"",IF(UPPER(TRIM(JAWABAN!S9))=S$4,1,0))</f>
        <v>1</v>
      </c>
      <c r="T9" s="16" t="n">
        <f aca="false">IF(OR($B9="",T$4=""),"",IF(UPPER(TRIM(JAWABAN!T9))=T$4,1,0))</f>
        <v>0</v>
      </c>
      <c r="U9" s="16" t="n">
        <f aca="false">IF(OR($B9="",U$4=""),"",IF(UPPER(TRIM(JAWABAN!U9))=U$4,1,0))</f>
        <v>1</v>
      </c>
      <c r="V9" s="16" t="n">
        <f aca="false">IF(OR($B9="",V$4=""),"",IF(UPPER(TRIM(JAWABAN!V9))=V$4,1,0))</f>
        <v>1</v>
      </c>
      <c r="W9" s="16" t="n">
        <f aca="false">IF(OR($B9="",W$4=""),"",IF(UPPER(TRIM(JAWABAN!W9))=W$4,1,0))</f>
        <v>0</v>
      </c>
      <c r="X9" s="16" t="n">
        <f aca="false">IF(OR($B9="",X$4=""),"",IF(UPPER(TRIM(JAWABAN!X9))=X$4,1,0))</f>
        <v>0</v>
      </c>
      <c r="Y9" s="16" t="n">
        <f aca="false">IF(OR($B9="",Y$4=""),"",IF(UPPER(TRIM(JAWABAN!Y9))=Y$4,1,0))</f>
        <v>1</v>
      </c>
      <c r="Z9" s="16" t="n">
        <f aca="false">IF(OR($B9="",Z$4=""),"",IF(UPPER(TRIM(JAWABAN!Z9))=Z$4,1,0))</f>
        <v>1</v>
      </c>
      <c r="AA9" s="16" t="n">
        <f aca="false">IF(OR($B9="",AA$4=""),"",IF(UPPER(TRIM(JAWABAN!AA9))=AA$4,1,0))</f>
        <v>1</v>
      </c>
      <c r="AB9" s="16" t="n">
        <f aca="false">IF(OR($B9="",AB$4=""),"",IF(UPPER(TRIM(JAWABAN!AB9))=AB$4,1,0))</f>
        <v>0</v>
      </c>
      <c r="AC9" s="16" t="n">
        <f aca="false">IF(OR($B9="",AC$4=""),"",IF(UPPER(TRIM(JAWABAN!AC9))=AC$4,1,0))</f>
        <v>0</v>
      </c>
      <c r="AD9" s="16" t="n">
        <f aca="false">IF(OR($B9="",AD$4=""),"",IF(UPPER(TRIM(JAWABAN!AD9))=AD$4,1,0))</f>
        <v>0</v>
      </c>
      <c r="AE9" s="16" t="n">
        <f aca="false">IF(OR($B9="",AE$4=""),"",IF(UPPER(TRIM(JAWABAN!AE9))=AE$4,1,0))</f>
        <v>0</v>
      </c>
      <c r="AF9" s="16" t="n">
        <f aca="false">IF(OR($B9="",AF$4=""),"",IF(UPPER(TRIM(JAWABAN!AF9))=AF$4,1,0))</f>
        <v>0</v>
      </c>
      <c r="AG9" s="16" t="n">
        <f aca="false">IF(OR($B9="",AG$4=""),"",IF(UPPER(TRIM(JAWABAN!AG9))=AG$4,1,0))</f>
        <v>0</v>
      </c>
      <c r="AH9" s="16" t="n">
        <f aca="false">IF(OR($B9="",AH$4=""),"",IF(UPPER(TRIM(JAWABAN!AH9))=AH$4,1,0))</f>
        <v>1</v>
      </c>
      <c r="AI9" s="16" t="n">
        <f aca="false">IF(OR($B9="",AI$4=""),"",IF(UPPER(TRIM(JAWABAN!AI9))=AI$4,1,0))</f>
        <v>1</v>
      </c>
      <c r="AJ9" s="16" t="n">
        <f aca="false">IF(OR($B9="",AJ$4=""),"",IF(UPPER(TRIM(JAWABAN!AJ9))=AJ$4,1,0))</f>
        <v>1</v>
      </c>
      <c r="AK9" s="16" t="n">
        <f aca="false">IF(OR($B9="",AK$4=""),"",IF(UPPER(TRIM(JAWABAN!AK9))=AK$4,1,0))</f>
        <v>0</v>
      </c>
      <c r="AL9" s="16" t="n">
        <f aca="false">IF(OR($B9="",AL$4=""),"",IF(UPPER(TRIM(JAWABAN!AL9))=AL$4,1,0))</f>
        <v>1</v>
      </c>
      <c r="AM9" s="16" t="n">
        <f aca="false">IF(OR($B9="",AM$4=""),"",IF(UPPER(TRIM(JAWABAN!AM9))=AM$4,1,0))</f>
        <v>0</v>
      </c>
      <c r="AN9" s="16" t="n">
        <f aca="false">IF(OR($B9="",AN$4=""),"",IF(UPPER(TRIM(JAWABAN!AN9))=AN$4,1,0))</f>
        <v>0</v>
      </c>
      <c r="AO9" s="16" t="n">
        <f aca="false">IF(OR($B9="",AO$4=""),"",IF(UPPER(TRIM(JAWABAN!AO9))=AO$4,1,0))</f>
        <v>1</v>
      </c>
      <c r="AP9" s="16" t="n">
        <f aca="false">IF(OR($B9="",AP$4=""),"",IF(UPPER(TRIM(JAWABAN!AP9))=AP$4,1,0))</f>
        <v>0</v>
      </c>
      <c r="AQ9" s="16" t="n">
        <f aca="false">IF(OR($B9="",AQ$4=""),"",IF(UPPER(TRIM(JAWABAN!AQ9))=AQ$4,1,0))</f>
        <v>0</v>
      </c>
      <c r="AR9" s="16" t="n">
        <f aca="false">IF(OR($B9="",AR$4=""),"",IF(UPPER(TRIM(JAWABAN!AR9))=AR$4,1,0))</f>
        <v>1</v>
      </c>
      <c r="AS9" s="30" t="n">
        <f aca="false">IF($B9="","",SUM(E9:AR9))</f>
        <v>20</v>
      </c>
      <c r="AT9" s="31" t="n">
        <f aca="false">IF(AS9="","",IFERROR(ROUND(AS9/K_SOAL*100,2),""))</f>
        <v>50</v>
      </c>
      <c r="AU9" s="16" t="str">
        <f aca="false">IF(AT9="","",IF(AT9&gt;=NILAI_KKM,"Tuntas","Belum tuntas"))</f>
        <v>Belum tuntas</v>
      </c>
      <c r="AV9" s="32" t="n">
        <f aca="false">IF(AS9="","",AS9+(1000-ROW())/100000)</f>
        <v>20.00991</v>
      </c>
      <c r="AW9" s="33" t="n">
        <f aca="false">IF(AV9="","",RANK(AV9,$AV$6:$AV$55))</f>
        <v>21</v>
      </c>
      <c r="AX9" s="30" t="n">
        <f aca="false">IF(AS9="","",RANK(AS9,$AS$6:$AS$55))</f>
        <v>21</v>
      </c>
      <c r="AY9" s="16" t="str">
        <f aca="false">IF(AW9="","",IF(AW9&lt;=N_GRUP,"Atas",IF(AW9&gt;N_SISWA-N_GRUP,"Bawah","Tengah")))</f>
        <v>Tengah</v>
      </c>
    </row>
    <row r="10" customFormat="false" ht="15" hidden="false" customHeight="true" outlineLevel="0" collapsed="false">
      <c r="A10" s="16" t="n">
        <v>5</v>
      </c>
      <c r="B10" s="20" t="str">
        <f aca="false">IF(JAWABAN!B10="","",JAWABAN!B10)</f>
        <v>SISWA 05</v>
      </c>
      <c r="C10" s="20" t="str">
        <f aca="false">IF(JAWABAN!C10="","",JAWABAN!C10)</f>
        <v>IX G</v>
      </c>
      <c r="D10" s="29" t="str">
        <f aca="false">IF(JAWABAN!D10="","",JAWABAN!D10)</f>
        <v>0123027</v>
      </c>
      <c r="E10" s="16" t="n">
        <f aca="false">IF(OR($B10="",E$4=""),"",IF(UPPER(TRIM(JAWABAN!E10))=E$4,1,0))</f>
        <v>1</v>
      </c>
      <c r="F10" s="16" t="n">
        <f aca="false">IF(OR($B10="",F$4=""),"",IF(UPPER(TRIM(JAWABAN!F10))=F$4,1,0))</f>
        <v>1</v>
      </c>
      <c r="G10" s="16" t="n">
        <f aca="false">IF(OR($B10="",G$4=""),"",IF(UPPER(TRIM(JAWABAN!G10))=G$4,1,0))</f>
        <v>1</v>
      </c>
      <c r="H10" s="16" t="n">
        <f aca="false">IF(OR($B10="",H$4=""),"",IF(UPPER(TRIM(JAWABAN!H10))=H$4,1,0))</f>
        <v>0</v>
      </c>
      <c r="I10" s="16" t="n">
        <f aca="false">IF(OR($B10="",I$4=""),"",IF(UPPER(TRIM(JAWABAN!I10))=I$4,1,0))</f>
        <v>1</v>
      </c>
      <c r="J10" s="16" t="n">
        <f aca="false">IF(OR($B10="",J$4=""),"",IF(UPPER(TRIM(JAWABAN!J10))=J$4,1,0))</f>
        <v>0</v>
      </c>
      <c r="K10" s="16" t="n">
        <f aca="false">IF(OR($B10="",K$4=""),"",IF(UPPER(TRIM(JAWABAN!K10))=K$4,1,0))</f>
        <v>0</v>
      </c>
      <c r="L10" s="16" t="n">
        <f aca="false">IF(OR($B10="",L$4=""),"",IF(UPPER(TRIM(JAWABAN!L10))=L$4,1,0))</f>
        <v>1</v>
      </c>
      <c r="M10" s="16" t="n">
        <f aca="false">IF(OR($B10="",M$4=""),"",IF(UPPER(TRIM(JAWABAN!M10))=M$4,1,0))</f>
        <v>1</v>
      </c>
      <c r="N10" s="16" t="n">
        <f aca="false">IF(OR($B10="",N$4=""),"",IF(UPPER(TRIM(JAWABAN!N10))=N$4,1,0))</f>
        <v>1</v>
      </c>
      <c r="O10" s="16" t="n">
        <f aca="false">IF(OR($B10="",O$4=""),"",IF(UPPER(TRIM(JAWABAN!O10))=O$4,1,0))</f>
        <v>1</v>
      </c>
      <c r="P10" s="16" t="n">
        <f aca="false">IF(OR($B10="",P$4=""),"",IF(UPPER(TRIM(JAWABAN!P10))=P$4,1,0))</f>
        <v>1</v>
      </c>
      <c r="Q10" s="16" t="n">
        <f aca="false">IF(OR($B10="",Q$4=""),"",IF(UPPER(TRIM(JAWABAN!Q10))=Q$4,1,0))</f>
        <v>1</v>
      </c>
      <c r="R10" s="16" t="n">
        <f aca="false">IF(OR($B10="",R$4=""),"",IF(UPPER(TRIM(JAWABAN!R10))=R$4,1,0))</f>
        <v>1</v>
      </c>
      <c r="S10" s="16" t="n">
        <f aca="false">IF(OR($B10="",S$4=""),"",IF(UPPER(TRIM(JAWABAN!S10))=S$4,1,0))</f>
        <v>1</v>
      </c>
      <c r="T10" s="16" t="n">
        <f aca="false">IF(OR($B10="",T$4=""),"",IF(UPPER(TRIM(JAWABAN!T10))=T$4,1,0))</f>
        <v>1</v>
      </c>
      <c r="U10" s="16" t="n">
        <f aca="false">IF(OR($B10="",U$4=""),"",IF(UPPER(TRIM(JAWABAN!U10))=U$4,1,0))</f>
        <v>1</v>
      </c>
      <c r="V10" s="16" t="n">
        <f aca="false">IF(OR($B10="",V$4=""),"",IF(UPPER(TRIM(JAWABAN!V10))=V$4,1,0))</f>
        <v>1</v>
      </c>
      <c r="W10" s="16" t="n">
        <f aca="false">IF(OR($B10="",W$4=""),"",IF(UPPER(TRIM(JAWABAN!W10))=W$4,1,0))</f>
        <v>1</v>
      </c>
      <c r="X10" s="16" t="n">
        <f aca="false">IF(OR($B10="",X$4=""),"",IF(UPPER(TRIM(JAWABAN!X10))=X$4,1,0))</f>
        <v>1</v>
      </c>
      <c r="Y10" s="16" t="n">
        <f aca="false">IF(OR($B10="",Y$4=""),"",IF(UPPER(TRIM(JAWABAN!Y10))=Y$4,1,0))</f>
        <v>1</v>
      </c>
      <c r="Z10" s="16" t="n">
        <f aca="false">IF(OR($B10="",Z$4=""),"",IF(UPPER(TRIM(JAWABAN!Z10))=Z$4,1,0))</f>
        <v>1</v>
      </c>
      <c r="AA10" s="16" t="n">
        <f aca="false">IF(OR($B10="",AA$4=""),"",IF(UPPER(TRIM(JAWABAN!AA10))=AA$4,1,0))</f>
        <v>1</v>
      </c>
      <c r="AB10" s="16" t="n">
        <f aca="false">IF(OR($B10="",AB$4=""),"",IF(UPPER(TRIM(JAWABAN!AB10))=AB$4,1,0))</f>
        <v>1</v>
      </c>
      <c r="AC10" s="16" t="n">
        <f aca="false">IF(OR($B10="",AC$4=""),"",IF(UPPER(TRIM(JAWABAN!AC10))=AC$4,1,0))</f>
        <v>1</v>
      </c>
      <c r="AD10" s="16" t="n">
        <f aca="false">IF(OR($B10="",AD$4=""),"",IF(UPPER(TRIM(JAWABAN!AD10))=AD$4,1,0))</f>
        <v>1</v>
      </c>
      <c r="AE10" s="16" t="n">
        <f aca="false">IF(OR($B10="",AE$4=""),"",IF(UPPER(TRIM(JAWABAN!AE10))=AE$4,1,0))</f>
        <v>1</v>
      </c>
      <c r="AF10" s="16" t="n">
        <f aca="false">IF(OR($B10="",AF$4=""),"",IF(UPPER(TRIM(JAWABAN!AF10))=AF$4,1,0))</f>
        <v>0</v>
      </c>
      <c r="AG10" s="16" t="n">
        <f aca="false">IF(OR($B10="",AG$4=""),"",IF(UPPER(TRIM(JAWABAN!AG10))=AG$4,1,0))</f>
        <v>1</v>
      </c>
      <c r="AH10" s="16" t="n">
        <f aca="false">IF(OR($B10="",AH$4=""),"",IF(UPPER(TRIM(JAWABAN!AH10))=AH$4,1,0))</f>
        <v>1</v>
      </c>
      <c r="AI10" s="16" t="n">
        <f aca="false">IF(OR($B10="",AI$4=""),"",IF(UPPER(TRIM(JAWABAN!AI10))=AI$4,1,0))</f>
        <v>1</v>
      </c>
      <c r="AJ10" s="16" t="n">
        <f aca="false">IF(OR($B10="",AJ$4=""),"",IF(UPPER(TRIM(JAWABAN!AJ10))=AJ$4,1,0))</f>
        <v>1</v>
      </c>
      <c r="AK10" s="16" t="n">
        <f aca="false">IF(OR($B10="",AK$4=""),"",IF(UPPER(TRIM(JAWABAN!AK10))=AK$4,1,0))</f>
        <v>1</v>
      </c>
      <c r="AL10" s="16" t="n">
        <f aca="false">IF(OR($B10="",AL$4=""),"",IF(UPPER(TRIM(JAWABAN!AL10))=AL$4,1,0))</f>
        <v>1</v>
      </c>
      <c r="AM10" s="16" t="n">
        <f aca="false">IF(OR($B10="",AM$4=""),"",IF(UPPER(TRIM(JAWABAN!AM10))=AM$4,1,0))</f>
        <v>1</v>
      </c>
      <c r="AN10" s="16" t="n">
        <f aca="false">IF(OR($B10="",AN$4=""),"",IF(UPPER(TRIM(JAWABAN!AN10))=AN$4,1,0))</f>
        <v>1</v>
      </c>
      <c r="AO10" s="16" t="n">
        <f aca="false">IF(OR($B10="",AO$4=""),"",IF(UPPER(TRIM(JAWABAN!AO10))=AO$4,1,0))</f>
        <v>1</v>
      </c>
      <c r="AP10" s="16" t="n">
        <f aca="false">IF(OR($B10="",AP$4=""),"",IF(UPPER(TRIM(JAWABAN!AP10))=AP$4,1,0))</f>
        <v>1</v>
      </c>
      <c r="AQ10" s="16" t="n">
        <f aca="false">IF(OR($B10="",AQ$4=""),"",IF(UPPER(TRIM(JAWABAN!AQ10))=AQ$4,1,0))</f>
        <v>0</v>
      </c>
      <c r="AR10" s="16" t="n">
        <f aca="false">IF(OR($B10="",AR$4=""),"",IF(UPPER(TRIM(JAWABAN!AR10))=AR$4,1,0))</f>
        <v>1</v>
      </c>
      <c r="AS10" s="30" t="n">
        <f aca="false">IF($B10="","",SUM(E10:AR10))</f>
        <v>35</v>
      </c>
      <c r="AT10" s="31" t="n">
        <f aca="false">IF(AS10="","",IFERROR(ROUND(AS10/K_SOAL*100,2),""))</f>
        <v>87.5</v>
      </c>
      <c r="AU10" s="16" t="str">
        <f aca="false">IF(AT10="","",IF(AT10&gt;=NILAI_KKM,"Tuntas","Belum tuntas"))</f>
        <v>Tuntas</v>
      </c>
      <c r="AV10" s="32" t="n">
        <f aca="false">IF(AS10="","",AS10+(1000-ROW())/100000)</f>
        <v>35.0099</v>
      </c>
      <c r="AW10" s="33" t="n">
        <f aca="false">IF(AV10="","",RANK(AV10,$AV$6:$AV$55))</f>
        <v>1</v>
      </c>
      <c r="AX10" s="30" t="n">
        <f aca="false">IF(AS10="","",RANK(AS10,$AS$6:$AS$55))</f>
        <v>1</v>
      </c>
      <c r="AY10" s="16" t="str">
        <f aca="false">IF(AW10="","",IF(AW10&lt;=N_GRUP,"Atas",IF(AW10&gt;N_SISWA-N_GRUP,"Bawah","Tengah")))</f>
        <v>Atas</v>
      </c>
    </row>
    <row r="11" customFormat="false" ht="15" hidden="false" customHeight="true" outlineLevel="0" collapsed="false">
      <c r="A11" s="16" t="n">
        <v>6</v>
      </c>
      <c r="B11" s="20" t="str">
        <f aca="false">IF(JAWABAN!B11="","",JAWABAN!B11)</f>
        <v>SISWA 06</v>
      </c>
      <c r="C11" s="20" t="str">
        <f aca="false">IF(JAWABAN!C11="","",JAWABAN!C11)</f>
        <v>IX G</v>
      </c>
      <c r="D11" s="29" t="str">
        <f aca="false">IF(JAWABAN!D11="","",JAWABAN!D11)</f>
        <v>0123026</v>
      </c>
      <c r="E11" s="16" t="n">
        <f aca="false">IF(OR($B11="",E$4=""),"",IF(UPPER(TRIM(JAWABAN!E11))=E$4,1,0))</f>
        <v>0</v>
      </c>
      <c r="F11" s="16" t="n">
        <f aca="false">IF(OR($B11="",F$4=""),"",IF(UPPER(TRIM(JAWABAN!F11))=F$4,1,0))</f>
        <v>0</v>
      </c>
      <c r="G11" s="16" t="n">
        <f aca="false">IF(OR($B11="",G$4=""),"",IF(UPPER(TRIM(JAWABAN!G11))=G$4,1,0))</f>
        <v>0</v>
      </c>
      <c r="H11" s="16" t="n">
        <f aca="false">IF(OR($B11="",H$4=""),"",IF(UPPER(TRIM(JAWABAN!H11))=H$4,1,0))</f>
        <v>1</v>
      </c>
      <c r="I11" s="16" t="n">
        <f aca="false">IF(OR($B11="",I$4=""),"",IF(UPPER(TRIM(JAWABAN!I11))=I$4,1,0))</f>
        <v>0</v>
      </c>
      <c r="J11" s="16" t="n">
        <f aca="false">IF(OR($B11="",J$4=""),"",IF(UPPER(TRIM(JAWABAN!J11))=J$4,1,0))</f>
        <v>1</v>
      </c>
      <c r="K11" s="16" t="n">
        <f aca="false">IF(OR($B11="",K$4=""),"",IF(UPPER(TRIM(JAWABAN!K11))=K$4,1,0))</f>
        <v>1</v>
      </c>
      <c r="L11" s="16" t="n">
        <f aca="false">IF(OR($B11="",L$4=""),"",IF(UPPER(TRIM(JAWABAN!L11))=L$4,1,0))</f>
        <v>1</v>
      </c>
      <c r="M11" s="16" t="n">
        <f aca="false">IF(OR($B11="",M$4=""),"",IF(UPPER(TRIM(JAWABAN!M11))=M$4,1,0))</f>
        <v>1</v>
      </c>
      <c r="N11" s="16" t="n">
        <f aca="false">IF(OR($B11="",N$4=""),"",IF(UPPER(TRIM(JAWABAN!N11))=N$4,1,0))</f>
        <v>1</v>
      </c>
      <c r="O11" s="16" t="n">
        <f aca="false">IF(OR($B11="",O$4=""),"",IF(UPPER(TRIM(JAWABAN!O11))=O$4,1,0))</f>
        <v>1</v>
      </c>
      <c r="P11" s="16" t="n">
        <f aca="false">IF(OR($B11="",P$4=""),"",IF(UPPER(TRIM(JAWABAN!P11))=P$4,1,0))</f>
        <v>0</v>
      </c>
      <c r="Q11" s="16" t="n">
        <f aca="false">IF(OR($B11="",Q$4=""),"",IF(UPPER(TRIM(JAWABAN!Q11))=Q$4,1,0))</f>
        <v>1</v>
      </c>
      <c r="R11" s="16" t="n">
        <f aca="false">IF(OR($B11="",R$4=""),"",IF(UPPER(TRIM(JAWABAN!R11))=R$4,1,0))</f>
        <v>1</v>
      </c>
      <c r="S11" s="16" t="n">
        <f aca="false">IF(OR($B11="",S$4=""),"",IF(UPPER(TRIM(JAWABAN!S11))=S$4,1,0))</f>
        <v>1</v>
      </c>
      <c r="T11" s="16" t="n">
        <f aca="false">IF(OR($B11="",T$4=""),"",IF(UPPER(TRIM(JAWABAN!T11))=T$4,1,0))</f>
        <v>0</v>
      </c>
      <c r="U11" s="16" t="n">
        <f aca="false">IF(OR($B11="",U$4=""),"",IF(UPPER(TRIM(JAWABAN!U11))=U$4,1,0))</f>
        <v>0</v>
      </c>
      <c r="V11" s="16" t="n">
        <f aca="false">IF(OR($B11="",V$4=""),"",IF(UPPER(TRIM(JAWABAN!V11))=V$4,1,0))</f>
        <v>1</v>
      </c>
      <c r="W11" s="16" t="n">
        <f aca="false">IF(OR($B11="",W$4=""),"",IF(UPPER(TRIM(JAWABAN!W11))=W$4,1,0))</f>
        <v>1</v>
      </c>
      <c r="X11" s="16" t="n">
        <f aca="false">IF(OR($B11="",X$4=""),"",IF(UPPER(TRIM(JAWABAN!X11))=X$4,1,0))</f>
        <v>1</v>
      </c>
      <c r="Y11" s="16" t="n">
        <f aca="false">IF(OR($B11="",Y$4=""),"",IF(UPPER(TRIM(JAWABAN!Y11))=Y$4,1,0))</f>
        <v>1</v>
      </c>
      <c r="Z11" s="16" t="n">
        <f aca="false">IF(OR($B11="",Z$4=""),"",IF(UPPER(TRIM(JAWABAN!Z11))=Z$4,1,0))</f>
        <v>1</v>
      </c>
      <c r="AA11" s="16" t="n">
        <f aca="false">IF(OR($B11="",AA$4=""),"",IF(UPPER(TRIM(JAWABAN!AA11))=AA$4,1,0))</f>
        <v>1</v>
      </c>
      <c r="AB11" s="16" t="n">
        <f aca="false">IF(OR($B11="",AB$4=""),"",IF(UPPER(TRIM(JAWABAN!AB11))=AB$4,1,0))</f>
        <v>1</v>
      </c>
      <c r="AC11" s="16" t="n">
        <f aca="false">IF(OR($B11="",AC$4=""),"",IF(UPPER(TRIM(JAWABAN!AC11))=AC$4,1,0))</f>
        <v>0</v>
      </c>
      <c r="AD11" s="16" t="n">
        <f aca="false">IF(OR($B11="",AD$4=""),"",IF(UPPER(TRIM(JAWABAN!AD11))=AD$4,1,0))</f>
        <v>1</v>
      </c>
      <c r="AE11" s="16" t="n">
        <f aca="false">IF(OR($B11="",AE$4=""),"",IF(UPPER(TRIM(JAWABAN!AE11))=AE$4,1,0))</f>
        <v>1</v>
      </c>
      <c r="AF11" s="16" t="n">
        <f aca="false">IF(OR($B11="",AF$4=""),"",IF(UPPER(TRIM(JAWABAN!AF11))=AF$4,1,0))</f>
        <v>1</v>
      </c>
      <c r="AG11" s="16" t="n">
        <f aca="false">IF(OR($B11="",AG$4=""),"",IF(UPPER(TRIM(JAWABAN!AG11))=AG$4,1,0))</f>
        <v>1</v>
      </c>
      <c r="AH11" s="16" t="n">
        <f aca="false">IF(OR($B11="",AH$4=""),"",IF(UPPER(TRIM(JAWABAN!AH11))=AH$4,1,0))</f>
        <v>1</v>
      </c>
      <c r="AI11" s="16" t="n">
        <f aca="false">IF(OR($B11="",AI$4=""),"",IF(UPPER(TRIM(JAWABAN!AI11))=AI$4,1,0))</f>
        <v>1</v>
      </c>
      <c r="AJ11" s="16" t="n">
        <f aca="false">IF(OR($B11="",AJ$4=""),"",IF(UPPER(TRIM(JAWABAN!AJ11))=AJ$4,1,0))</f>
        <v>1</v>
      </c>
      <c r="AK11" s="16" t="n">
        <f aca="false">IF(OR($B11="",AK$4=""),"",IF(UPPER(TRIM(JAWABAN!AK11))=AK$4,1,0))</f>
        <v>0</v>
      </c>
      <c r="AL11" s="16" t="n">
        <f aca="false">IF(OR($B11="",AL$4=""),"",IF(UPPER(TRIM(JAWABAN!AL11))=AL$4,1,0))</f>
        <v>0</v>
      </c>
      <c r="AM11" s="16" t="n">
        <f aca="false">IF(OR($B11="",AM$4=""),"",IF(UPPER(TRIM(JAWABAN!AM11))=AM$4,1,0))</f>
        <v>1</v>
      </c>
      <c r="AN11" s="16" t="n">
        <f aca="false">IF(OR($B11="",AN$4=""),"",IF(UPPER(TRIM(JAWABAN!AN11))=AN$4,1,0))</f>
        <v>1</v>
      </c>
      <c r="AO11" s="16" t="n">
        <f aca="false">IF(OR($B11="",AO$4=""),"",IF(UPPER(TRIM(JAWABAN!AO11))=AO$4,1,0))</f>
        <v>1</v>
      </c>
      <c r="AP11" s="16" t="n">
        <f aca="false">IF(OR($B11="",AP$4=""),"",IF(UPPER(TRIM(JAWABAN!AP11))=AP$4,1,0))</f>
        <v>1</v>
      </c>
      <c r="AQ11" s="16" t="n">
        <f aca="false">IF(OR($B11="",AQ$4=""),"",IF(UPPER(TRIM(JAWABAN!AQ11))=AQ$4,1,0))</f>
        <v>1</v>
      </c>
      <c r="AR11" s="16" t="n">
        <f aca="false">IF(OR($B11="",AR$4=""),"",IF(UPPER(TRIM(JAWABAN!AR11))=AR$4,1,0))</f>
        <v>0</v>
      </c>
      <c r="AS11" s="30" t="n">
        <f aca="false">IF($B11="","",SUM(E11:AR11))</f>
        <v>29</v>
      </c>
      <c r="AT11" s="31" t="n">
        <f aca="false">IF(AS11="","",IFERROR(ROUND(AS11/K_SOAL*100,2),""))</f>
        <v>72.5</v>
      </c>
      <c r="AU11" s="16" t="str">
        <f aca="false">IF(AT11="","",IF(AT11&gt;=NILAI_KKM,"Tuntas","Belum tuntas"))</f>
        <v>Belum tuntas</v>
      </c>
      <c r="AV11" s="32" t="n">
        <f aca="false">IF(AS11="","",AS11+(1000-ROW())/100000)</f>
        <v>29.00989</v>
      </c>
      <c r="AW11" s="33" t="n">
        <f aca="false">IF(AV11="","",RANK(AV11,$AV$6:$AV$55))</f>
        <v>7</v>
      </c>
      <c r="AX11" s="30" t="n">
        <f aca="false">IF(AS11="","",RANK(AS11,$AS$6:$AS$55))</f>
        <v>7</v>
      </c>
      <c r="AY11" s="16" t="str">
        <f aca="false">IF(AW11="","",IF(AW11&lt;=N_GRUP,"Atas",IF(AW11&gt;N_SISWA-N_GRUP,"Bawah","Tengah")))</f>
        <v>Atas</v>
      </c>
    </row>
    <row r="12" customFormat="false" ht="15" hidden="false" customHeight="true" outlineLevel="0" collapsed="false">
      <c r="A12" s="16" t="n">
        <v>7</v>
      </c>
      <c r="B12" s="20" t="str">
        <f aca="false">IF(JAWABAN!B12="","",JAWABAN!B12)</f>
        <v>SISWA 07</v>
      </c>
      <c r="C12" s="20" t="str">
        <f aca="false">IF(JAWABAN!C12="","",JAWABAN!C12)</f>
        <v>IX G</v>
      </c>
      <c r="D12" s="29" t="str">
        <f aca="false">IF(JAWABAN!D12="","",JAWABAN!D12)</f>
        <v>0123025</v>
      </c>
      <c r="E12" s="16" t="n">
        <f aca="false">IF(OR($B12="",E$4=""),"",IF(UPPER(TRIM(JAWABAN!E12))=E$4,1,0))</f>
        <v>1</v>
      </c>
      <c r="F12" s="16" t="n">
        <f aca="false">IF(OR($B12="",F$4=""),"",IF(UPPER(TRIM(JAWABAN!F12))=F$4,1,0))</f>
        <v>0</v>
      </c>
      <c r="G12" s="16" t="n">
        <f aca="false">IF(OR($B12="",G$4=""),"",IF(UPPER(TRIM(JAWABAN!G12))=G$4,1,0))</f>
        <v>1</v>
      </c>
      <c r="H12" s="16" t="n">
        <f aca="false">IF(OR($B12="",H$4=""),"",IF(UPPER(TRIM(JAWABAN!H12))=H$4,1,0))</f>
        <v>1</v>
      </c>
      <c r="I12" s="16" t="n">
        <f aca="false">IF(OR($B12="",I$4=""),"",IF(UPPER(TRIM(JAWABAN!I12))=I$4,1,0))</f>
        <v>0</v>
      </c>
      <c r="J12" s="16" t="n">
        <f aca="false">IF(OR($B12="",J$4=""),"",IF(UPPER(TRIM(JAWABAN!J12))=J$4,1,0))</f>
        <v>1</v>
      </c>
      <c r="K12" s="16" t="n">
        <f aca="false">IF(OR($B12="",K$4=""),"",IF(UPPER(TRIM(JAWABAN!K12))=K$4,1,0))</f>
        <v>1</v>
      </c>
      <c r="L12" s="16" t="n">
        <f aca="false">IF(OR($B12="",L$4=""),"",IF(UPPER(TRIM(JAWABAN!L12))=L$4,1,0))</f>
        <v>1</v>
      </c>
      <c r="M12" s="16" t="n">
        <f aca="false">IF(OR($B12="",M$4=""),"",IF(UPPER(TRIM(JAWABAN!M12))=M$4,1,0))</f>
        <v>1</v>
      </c>
      <c r="N12" s="16" t="n">
        <f aca="false">IF(OR($B12="",N$4=""),"",IF(UPPER(TRIM(JAWABAN!N12))=N$4,1,0))</f>
        <v>1</v>
      </c>
      <c r="O12" s="16" t="n">
        <f aca="false">IF(OR($B12="",O$4=""),"",IF(UPPER(TRIM(JAWABAN!O12))=O$4,1,0))</f>
        <v>0</v>
      </c>
      <c r="P12" s="16" t="n">
        <f aca="false">IF(OR($B12="",P$4=""),"",IF(UPPER(TRIM(JAWABAN!P12))=P$4,1,0))</f>
        <v>0</v>
      </c>
      <c r="Q12" s="16" t="n">
        <f aca="false">IF(OR($B12="",Q$4=""),"",IF(UPPER(TRIM(JAWABAN!Q12))=Q$4,1,0))</f>
        <v>1</v>
      </c>
      <c r="R12" s="16" t="n">
        <f aca="false">IF(OR($B12="",R$4=""),"",IF(UPPER(TRIM(JAWABAN!R12))=R$4,1,0))</f>
        <v>0</v>
      </c>
      <c r="S12" s="16" t="n">
        <f aca="false">IF(OR($B12="",S$4=""),"",IF(UPPER(TRIM(JAWABAN!S12))=S$4,1,0))</f>
        <v>0</v>
      </c>
      <c r="T12" s="16" t="n">
        <f aca="false">IF(OR($B12="",T$4=""),"",IF(UPPER(TRIM(JAWABAN!T12))=T$4,1,0))</f>
        <v>0</v>
      </c>
      <c r="U12" s="16" t="n">
        <f aca="false">IF(OR($B12="",U$4=""),"",IF(UPPER(TRIM(JAWABAN!U12))=U$4,1,0))</f>
        <v>0</v>
      </c>
      <c r="V12" s="16" t="n">
        <f aca="false">IF(OR($B12="",V$4=""),"",IF(UPPER(TRIM(JAWABAN!V12))=V$4,1,0))</f>
        <v>0</v>
      </c>
      <c r="W12" s="16" t="n">
        <f aca="false">IF(OR($B12="",W$4=""),"",IF(UPPER(TRIM(JAWABAN!W12))=W$4,1,0))</f>
        <v>1</v>
      </c>
      <c r="X12" s="16" t="n">
        <f aca="false">IF(OR($B12="",X$4=""),"",IF(UPPER(TRIM(JAWABAN!X12))=X$4,1,0))</f>
        <v>0</v>
      </c>
      <c r="Y12" s="16" t="n">
        <f aca="false">IF(OR($B12="",Y$4=""),"",IF(UPPER(TRIM(JAWABAN!Y12))=Y$4,1,0))</f>
        <v>1</v>
      </c>
      <c r="Z12" s="16" t="n">
        <f aca="false">IF(OR($B12="",Z$4=""),"",IF(UPPER(TRIM(JAWABAN!Z12))=Z$4,1,0))</f>
        <v>0</v>
      </c>
      <c r="AA12" s="16" t="n">
        <f aca="false">IF(OR($B12="",AA$4=""),"",IF(UPPER(TRIM(JAWABAN!AA12))=AA$4,1,0))</f>
        <v>1</v>
      </c>
      <c r="AB12" s="16" t="n">
        <f aca="false">IF(OR($B12="",AB$4=""),"",IF(UPPER(TRIM(JAWABAN!AB12))=AB$4,1,0))</f>
        <v>1</v>
      </c>
      <c r="AC12" s="16" t="n">
        <f aca="false">IF(OR($B12="",AC$4=""),"",IF(UPPER(TRIM(JAWABAN!AC12))=AC$4,1,0))</f>
        <v>1</v>
      </c>
      <c r="AD12" s="16" t="n">
        <f aca="false">IF(OR($B12="",AD$4=""),"",IF(UPPER(TRIM(JAWABAN!AD12))=AD$4,1,0))</f>
        <v>0</v>
      </c>
      <c r="AE12" s="16" t="n">
        <f aca="false">IF(OR($B12="",AE$4=""),"",IF(UPPER(TRIM(JAWABAN!AE12))=AE$4,1,0))</f>
        <v>1</v>
      </c>
      <c r="AF12" s="16" t="n">
        <f aca="false">IF(OR($B12="",AF$4=""),"",IF(UPPER(TRIM(JAWABAN!AF12))=AF$4,1,0))</f>
        <v>0</v>
      </c>
      <c r="AG12" s="16" t="n">
        <f aca="false">IF(OR($B12="",AG$4=""),"",IF(UPPER(TRIM(JAWABAN!AG12))=AG$4,1,0))</f>
        <v>0</v>
      </c>
      <c r="AH12" s="16" t="n">
        <f aca="false">IF(OR($B12="",AH$4=""),"",IF(UPPER(TRIM(JAWABAN!AH12))=AH$4,1,0))</f>
        <v>1</v>
      </c>
      <c r="AI12" s="16" t="n">
        <f aca="false">IF(OR($B12="",AI$4=""),"",IF(UPPER(TRIM(JAWABAN!AI12))=AI$4,1,0))</f>
        <v>0</v>
      </c>
      <c r="AJ12" s="16" t="n">
        <f aca="false">IF(OR($B12="",AJ$4=""),"",IF(UPPER(TRIM(JAWABAN!AJ12))=AJ$4,1,0))</f>
        <v>1</v>
      </c>
      <c r="AK12" s="16" t="n">
        <f aca="false">IF(OR($B12="",AK$4=""),"",IF(UPPER(TRIM(JAWABAN!AK12))=AK$4,1,0))</f>
        <v>1</v>
      </c>
      <c r="AL12" s="16" t="n">
        <f aca="false">IF(OR($B12="",AL$4=""),"",IF(UPPER(TRIM(JAWABAN!AL12))=AL$4,1,0))</f>
        <v>0</v>
      </c>
      <c r="AM12" s="16" t="n">
        <f aca="false">IF(OR($B12="",AM$4=""),"",IF(UPPER(TRIM(JAWABAN!AM12))=AM$4,1,0))</f>
        <v>1</v>
      </c>
      <c r="AN12" s="16" t="n">
        <f aca="false">IF(OR($B12="",AN$4=""),"",IF(UPPER(TRIM(JAWABAN!AN12))=AN$4,1,0))</f>
        <v>1</v>
      </c>
      <c r="AO12" s="16" t="n">
        <f aca="false">IF(OR($B12="",AO$4=""),"",IF(UPPER(TRIM(JAWABAN!AO12))=AO$4,1,0))</f>
        <v>0</v>
      </c>
      <c r="AP12" s="16" t="n">
        <f aca="false">IF(OR($B12="",AP$4=""),"",IF(UPPER(TRIM(JAWABAN!AP12))=AP$4,1,0))</f>
        <v>1</v>
      </c>
      <c r="AQ12" s="16" t="n">
        <f aca="false">IF(OR($B12="",AQ$4=""),"",IF(UPPER(TRIM(JAWABAN!AQ12))=AQ$4,1,0))</f>
        <v>1</v>
      </c>
      <c r="AR12" s="16" t="n">
        <f aca="false">IF(OR($B12="",AR$4=""),"",IF(UPPER(TRIM(JAWABAN!AR12))=AR$4,1,0))</f>
        <v>1</v>
      </c>
      <c r="AS12" s="30" t="n">
        <f aca="false">IF($B12="","",SUM(E12:AR12))</f>
        <v>23</v>
      </c>
      <c r="AT12" s="31" t="n">
        <f aca="false">IF(AS12="","",IFERROR(ROUND(AS12/K_SOAL*100,2),""))</f>
        <v>57.5</v>
      </c>
      <c r="AU12" s="16" t="str">
        <f aca="false">IF(AT12="","",IF(AT12&gt;=NILAI_KKM,"Tuntas","Belum tuntas"))</f>
        <v>Belum tuntas</v>
      </c>
      <c r="AV12" s="32" t="n">
        <f aca="false">IF(AS12="","",AS12+(1000-ROW())/100000)</f>
        <v>23.00988</v>
      </c>
      <c r="AW12" s="33" t="n">
        <f aca="false">IF(AV12="","",RANK(AV12,$AV$6:$AV$55))</f>
        <v>16</v>
      </c>
      <c r="AX12" s="30" t="n">
        <f aca="false">IF(AS12="","",RANK(AS12,$AS$6:$AS$55))</f>
        <v>16</v>
      </c>
      <c r="AY12" s="16" t="str">
        <f aca="false">IF(AW12="","",IF(AW12&lt;=N_GRUP,"Atas",IF(AW12&gt;N_SISWA-N_GRUP,"Bawah","Tengah")))</f>
        <v>Tengah</v>
      </c>
    </row>
    <row r="13" customFormat="false" ht="15" hidden="false" customHeight="true" outlineLevel="0" collapsed="false">
      <c r="A13" s="16" t="n">
        <v>8</v>
      </c>
      <c r="B13" s="20" t="str">
        <f aca="false">IF(JAWABAN!B13="","",JAWABAN!B13)</f>
        <v>SISWA 08</v>
      </c>
      <c r="C13" s="20" t="str">
        <f aca="false">IF(JAWABAN!C13="","",JAWABAN!C13)</f>
        <v>IX G</v>
      </c>
      <c r="D13" s="29" t="str">
        <f aca="false">IF(JAWABAN!D13="","",JAWABAN!D13)</f>
        <v>0123024</v>
      </c>
      <c r="E13" s="16" t="n">
        <f aca="false">IF(OR($B13="",E$4=""),"",IF(UPPER(TRIM(JAWABAN!E13))=E$4,1,0))</f>
        <v>0</v>
      </c>
      <c r="F13" s="16" t="n">
        <f aca="false">IF(OR($B13="",F$4=""),"",IF(UPPER(TRIM(JAWABAN!F13))=F$4,1,0))</f>
        <v>0</v>
      </c>
      <c r="G13" s="16" t="n">
        <f aca="false">IF(OR($B13="",G$4=""),"",IF(UPPER(TRIM(JAWABAN!G13))=G$4,1,0))</f>
        <v>0</v>
      </c>
      <c r="H13" s="16" t="n">
        <f aca="false">IF(OR($B13="",H$4=""),"",IF(UPPER(TRIM(JAWABAN!H13))=H$4,1,0))</f>
        <v>0</v>
      </c>
      <c r="I13" s="16" t="n">
        <f aca="false">IF(OR($B13="",I$4=""),"",IF(UPPER(TRIM(JAWABAN!I13))=I$4,1,0))</f>
        <v>1</v>
      </c>
      <c r="J13" s="16" t="n">
        <f aca="false">IF(OR($B13="",J$4=""),"",IF(UPPER(TRIM(JAWABAN!J13))=J$4,1,0))</f>
        <v>0</v>
      </c>
      <c r="K13" s="16" t="n">
        <f aca="false">IF(OR($B13="",K$4=""),"",IF(UPPER(TRIM(JAWABAN!K13))=K$4,1,0))</f>
        <v>1</v>
      </c>
      <c r="L13" s="16" t="n">
        <f aca="false">IF(OR($B13="",L$4=""),"",IF(UPPER(TRIM(JAWABAN!L13))=L$4,1,0))</f>
        <v>1</v>
      </c>
      <c r="M13" s="16" t="n">
        <f aca="false">IF(OR($B13="",M$4=""),"",IF(UPPER(TRIM(JAWABAN!M13))=M$4,1,0))</f>
        <v>0</v>
      </c>
      <c r="N13" s="16" t="n">
        <f aca="false">IF(OR($B13="",N$4=""),"",IF(UPPER(TRIM(JAWABAN!N13))=N$4,1,0))</f>
        <v>0</v>
      </c>
      <c r="O13" s="16" t="n">
        <f aca="false">IF(OR($B13="",O$4=""),"",IF(UPPER(TRIM(JAWABAN!O13))=O$4,1,0))</f>
        <v>0</v>
      </c>
      <c r="P13" s="16" t="n">
        <f aca="false">IF(OR($B13="",P$4=""),"",IF(UPPER(TRIM(JAWABAN!P13))=P$4,1,0))</f>
        <v>0</v>
      </c>
      <c r="Q13" s="16" t="n">
        <f aca="false">IF(OR($B13="",Q$4=""),"",IF(UPPER(TRIM(JAWABAN!Q13))=Q$4,1,0))</f>
        <v>1</v>
      </c>
      <c r="R13" s="16" t="n">
        <f aca="false">IF(OR($B13="",R$4=""),"",IF(UPPER(TRIM(JAWABAN!R13))=R$4,1,0))</f>
        <v>1</v>
      </c>
      <c r="S13" s="16" t="n">
        <f aca="false">IF(OR($B13="",S$4=""),"",IF(UPPER(TRIM(JAWABAN!S13))=S$4,1,0))</f>
        <v>0</v>
      </c>
      <c r="T13" s="16" t="n">
        <f aca="false">IF(OR($B13="",T$4=""),"",IF(UPPER(TRIM(JAWABAN!T13))=T$4,1,0))</f>
        <v>0</v>
      </c>
      <c r="U13" s="16" t="n">
        <f aca="false">IF(OR($B13="",U$4=""),"",IF(UPPER(TRIM(JAWABAN!U13))=U$4,1,0))</f>
        <v>1</v>
      </c>
      <c r="V13" s="16" t="n">
        <f aca="false">IF(OR($B13="",V$4=""),"",IF(UPPER(TRIM(JAWABAN!V13))=V$4,1,0))</f>
        <v>1</v>
      </c>
      <c r="W13" s="16" t="n">
        <f aca="false">IF(OR($B13="",W$4=""),"",IF(UPPER(TRIM(JAWABAN!W13))=W$4,1,0))</f>
        <v>1</v>
      </c>
      <c r="X13" s="16" t="n">
        <f aca="false">IF(OR($B13="",X$4=""),"",IF(UPPER(TRIM(JAWABAN!X13))=X$4,1,0))</f>
        <v>1</v>
      </c>
      <c r="Y13" s="16" t="n">
        <f aca="false">IF(OR($B13="",Y$4=""),"",IF(UPPER(TRIM(JAWABAN!Y13))=Y$4,1,0))</f>
        <v>1</v>
      </c>
      <c r="Z13" s="16" t="n">
        <f aca="false">IF(OR($B13="",Z$4=""),"",IF(UPPER(TRIM(JAWABAN!Z13))=Z$4,1,0))</f>
        <v>0</v>
      </c>
      <c r="AA13" s="16" t="n">
        <f aca="false">IF(OR($B13="",AA$4=""),"",IF(UPPER(TRIM(JAWABAN!AA13))=AA$4,1,0))</f>
        <v>0</v>
      </c>
      <c r="AB13" s="16" t="n">
        <f aca="false">IF(OR($B13="",AB$4=""),"",IF(UPPER(TRIM(JAWABAN!AB13))=AB$4,1,0))</f>
        <v>0</v>
      </c>
      <c r="AC13" s="16" t="n">
        <f aca="false">IF(OR($B13="",AC$4=""),"",IF(UPPER(TRIM(JAWABAN!AC13))=AC$4,1,0))</f>
        <v>1</v>
      </c>
      <c r="AD13" s="16" t="n">
        <f aca="false">IF(OR($B13="",AD$4=""),"",IF(UPPER(TRIM(JAWABAN!AD13))=AD$4,1,0))</f>
        <v>0</v>
      </c>
      <c r="AE13" s="16" t="n">
        <f aca="false">IF(OR($B13="",AE$4=""),"",IF(UPPER(TRIM(JAWABAN!AE13))=AE$4,1,0))</f>
        <v>0</v>
      </c>
      <c r="AF13" s="16" t="n">
        <f aca="false">IF(OR($B13="",AF$4=""),"",IF(UPPER(TRIM(JAWABAN!AF13))=AF$4,1,0))</f>
        <v>0</v>
      </c>
      <c r="AG13" s="16" t="n">
        <f aca="false">IF(OR($B13="",AG$4=""),"",IF(UPPER(TRIM(JAWABAN!AG13))=AG$4,1,0))</f>
        <v>0</v>
      </c>
      <c r="AH13" s="16" t="n">
        <f aca="false">IF(OR($B13="",AH$4=""),"",IF(UPPER(TRIM(JAWABAN!AH13))=AH$4,1,0))</f>
        <v>1</v>
      </c>
      <c r="AI13" s="16" t="n">
        <f aca="false">IF(OR($B13="",AI$4=""),"",IF(UPPER(TRIM(JAWABAN!AI13))=AI$4,1,0))</f>
        <v>0</v>
      </c>
      <c r="AJ13" s="16" t="n">
        <f aca="false">IF(OR($B13="",AJ$4=""),"",IF(UPPER(TRIM(JAWABAN!AJ13))=AJ$4,1,0))</f>
        <v>0</v>
      </c>
      <c r="AK13" s="16" t="n">
        <f aca="false">IF(OR($B13="",AK$4=""),"",IF(UPPER(TRIM(JAWABAN!AK13))=AK$4,1,0))</f>
        <v>1</v>
      </c>
      <c r="AL13" s="16" t="n">
        <f aca="false">IF(OR($B13="",AL$4=""),"",IF(UPPER(TRIM(JAWABAN!AL13))=AL$4,1,0))</f>
        <v>0</v>
      </c>
      <c r="AM13" s="16" t="n">
        <f aca="false">IF(OR($B13="",AM$4=""),"",IF(UPPER(TRIM(JAWABAN!AM13))=AM$4,1,0))</f>
        <v>1</v>
      </c>
      <c r="AN13" s="16" t="n">
        <f aca="false">IF(OR($B13="",AN$4=""),"",IF(UPPER(TRIM(JAWABAN!AN13))=AN$4,1,0))</f>
        <v>1</v>
      </c>
      <c r="AO13" s="16" t="n">
        <f aca="false">IF(OR($B13="",AO$4=""),"",IF(UPPER(TRIM(JAWABAN!AO13))=AO$4,1,0))</f>
        <v>1</v>
      </c>
      <c r="AP13" s="16" t="n">
        <f aca="false">IF(OR($B13="",AP$4=""),"",IF(UPPER(TRIM(JAWABAN!AP13))=AP$4,1,0))</f>
        <v>0</v>
      </c>
      <c r="AQ13" s="16" t="n">
        <f aca="false">IF(OR($B13="",AQ$4=""),"",IF(UPPER(TRIM(JAWABAN!AQ13))=AQ$4,1,0))</f>
        <v>0</v>
      </c>
      <c r="AR13" s="16" t="n">
        <f aca="false">IF(OR($B13="",AR$4=""),"",IF(UPPER(TRIM(JAWABAN!AR13))=AR$4,1,0))</f>
        <v>1</v>
      </c>
      <c r="AS13" s="30" t="n">
        <f aca="false">IF($B13="","",SUM(E13:AR13))</f>
        <v>17</v>
      </c>
      <c r="AT13" s="31" t="n">
        <f aca="false">IF(AS13="","",IFERROR(ROUND(AS13/K_SOAL*100,2),""))</f>
        <v>42.5</v>
      </c>
      <c r="AU13" s="16" t="str">
        <f aca="false">IF(AT13="","",IF(AT13&gt;=NILAI_KKM,"Tuntas","Belum tuntas"))</f>
        <v>Belum tuntas</v>
      </c>
      <c r="AV13" s="32" t="n">
        <f aca="false">IF(AS13="","",AS13+(1000-ROW())/100000)</f>
        <v>17.00987</v>
      </c>
      <c r="AW13" s="33" t="n">
        <f aca="false">IF(AV13="","",RANK(AV13,$AV$6:$AV$55))</f>
        <v>27</v>
      </c>
      <c r="AX13" s="30" t="n">
        <f aca="false">IF(AS13="","",RANK(AS13,$AS$6:$AS$55))</f>
        <v>27</v>
      </c>
      <c r="AY13" s="16" t="str">
        <f aca="false">IF(AW13="","",IF(AW13&lt;=N_GRUP,"Atas",IF(AW13&gt;N_SISWA-N_GRUP,"Bawah","Tengah")))</f>
        <v>Bawah</v>
      </c>
    </row>
    <row r="14" customFormat="false" ht="15" hidden="false" customHeight="true" outlineLevel="0" collapsed="false">
      <c r="A14" s="16" t="n">
        <v>9</v>
      </c>
      <c r="B14" s="20" t="str">
        <f aca="false">IF(JAWABAN!B14="","",JAWABAN!B14)</f>
        <v>SISWA 09</v>
      </c>
      <c r="C14" s="20" t="str">
        <f aca="false">IF(JAWABAN!C14="","",JAWABAN!C14)</f>
        <v>IX G</v>
      </c>
      <c r="D14" s="29" t="str">
        <f aca="false">IF(JAWABAN!D14="","",JAWABAN!D14)</f>
        <v>0123023</v>
      </c>
      <c r="E14" s="16" t="n">
        <f aca="false">IF(OR($B14="",E$4=""),"",IF(UPPER(TRIM(JAWABAN!E14))=E$4,1,0))</f>
        <v>1</v>
      </c>
      <c r="F14" s="16" t="n">
        <f aca="false">IF(OR($B14="",F$4=""),"",IF(UPPER(TRIM(JAWABAN!F14))=F$4,1,0))</f>
        <v>1</v>
      </c>
      <c r="G14" s="16" t="n">
        <f aca="false">IF(OR($B14="",G$4=""),"",IF(UPPER(TRIM(JAWABAN!G14))=G$4,1,0))</f>
        <v>1</v>
      </c>
      <c r="H14" s="16" t="n">
        <f aca="false">IF(OR($B14="",H$4=""),"",IF(UPPER(TRIM(JAWABAN!H14))=H$4,1,0))</f>
        <v>0</v>
      </c>
      <c r="I14" s="16" t="n">
        <f aca="false">IF(OR($B14="",I$4=""),"",IF(UPPER(TRIM(JAWABAN!I14))=I$4,1,0))</f>
        <v>1</v>
      </c>
      <c r="J14" s="16" t="n">
        <f aca="false">IF(OR($B14="",J$4=""),"",IF(UPPER(TRIM(JAWABAN!J14))=J$4,1,0))</f>
        <v>0</v>
      </c>
      <c r="K14" s="16" t="n">
        <f aca="false">IF(OR($B14="",K$4=""),"",IF(UPPER(TRIM(JAWABAN!K14))=K$4,1,0))</f>
        <v>0</v>
      </c>
      <c r="L14" s="16" t="n">
        <f aca="false">IF(OR($B14="",L$4=""),"",IF(UPPER(TRIM(JAWABAN!L14))=L$4,1,0))</f>
        <v>0</v>
      </c>
      <c r="M14" s="16" t="n">
        <f aca="false">IF(OR($B14="",M$4=""),"",IF(UPPER(TRIM(JAWABAN!M14))=M$4,1,0))</f>
        <v>0</v>
      </c>
      <c r="N14" s="16" t="n">
        <f aca="false">IF(OR($B14="",N$4=""),"",IF(UPPER(TRIM(JAWABAN!N14))=N$4,1,0))</f>
        <v>0</v>
      </c>
      <c r="O14" s="16" t="n">
        <f aca="false">IF(OR($B14="",O$4=""),"",IF(UPPER(TRIM(JAWABAN!O14))=O$4,1,0))</f>
        <v>0</v>
      </c>
      <c r="P14" s="16" t="n">
        <f aca="false">IF(OR($B14="",P$4=""),"",IF(UPPER(TRIM(JAWABAN!P14))=P$4,1,0))</f>
        <v>1</v>
      </c>
      <c r="Q14" s="16" t="n">
        <f aca="false">IF(OR($B14="",Q$4=""),"",IF(UPPER(TRIM(JAWABAN!Q14))=Q$4,1,0))</f>
        <v>1</v>
      </c>
      <c r="R14" s="16" t="n">
        <f aca="false">IF(OR($B14="",R$4=""),"",IF(UPPER(TRIM(JAWABAN!R14))=R$4,1,0))</f>
        <v>0</v>
      </c>
      <c r="S14" s="16" t="n">
        <f aca="false">IF(OR($B14="",S$4=""),"",IF(UPPER(TRIM(JAWABAN!S14))=S$4,1,0))</f>
        <v>1</v>
      </c>
      <c r="T14" s="16" t="n">
        <f aca="false">IF(OR($B14="",T$4=""),"",IF(UPPER(TRIM(JAWABAN!T14))=T$4,1,0))</f>
        <v>0</v>
      </c>
      <c r="U14" s="16" t="n">
        <f aca="false">IF(OR($B14="",U$4=""),"",IF(UPPER(TRIM(JAWABAN!U14))=U$4,1,0))</f>
        <v>0</v>
      </c>
      <c r="V14" s="16" t="n">
        <f aca="false">IF(OR($B14="",V$4=""),"",IF(UPPER(TRIM(JAWABAN!V14))=V$4,1,0))</f>
        <v>0</v>
      </c>
      <c r="W14" s="16" t="n">
        <f aca="false">IF(OR($B14="",W$4=""),"",IF(UPPER(TRIM(JAWABAN!W14))=W$4,1,0))</f>
        <v>1</v>
      </c>
      <c r="X14" s="16" t="n">
        <f aca="false">IF(OR($B14="",X$4=""),"",IF(UPPER(TRIM(JAWABAN!X14))=X$4,1,0))</f>
        <v>1</v>
      </c>
      <c r="Y14" s="16" t="n">
        <f aca="false">IF(OR($B14="",Y$4=""),"",IF(UPPER(TRIM(JAWABAN!Y14))=Y$4,1,0))</f>
        <v>0</v>
      </c>
      <c r="Z14" s="16" t="n">
        <f aca="false">IF(OR($B14="",Z$4=""),"",IF(UPPER(TRIM(JAWABAN!Z14))=Z$4,1,0))</f>
        <v>0</v>
      </c>
      <c r="AA14" s="16" t="n">
        <f aca="false">IF(OR($B14="",AA$4=""),"",IF(UPPER(TRIM(JAWABAN!AA14))=AA$4,1,0))</f>
        <v>1</v>
      </c>
      <c r="AB14" s="16" t="n">
        <f aca="false">IF(OR($B14="",AB$4=""),"",IF(UPPER(TRIM(JAWABAN!AB14))=AB$4,1,0))</f>
        <v>0</v>
      </c>
      <c r="AC14" s="16" t="n">
        <f aca="false">IF(OR($B14="",AC$4=""),"",IF(UPPER(TRIM(JAWABAN!AC14))=AC$4,1,0))</f>
        <v>1</v>
      </c>
      <c r="AD14" s="16" t="n">
        <f aca="false">IF(OR($B14="",AD$4=""),"",IF(UPPER(TRIM(JAWABAN!AD14))=AD$4,1,0))</f>
        <v>0</v>
      </c>
      <c r="AE14" s="16" t="n">
        <f aca="false">IF(OR($B14="",AE$4=""),"",IF(UPPER(TRIM(JAWABAN!AE14))=AE$4,1,0))</f>
        <v>0</v>
      </c>
      <c r="AF14" s="16" t="n">
        <f aca="false">IF(OR($B14="",AF$4=""),"",IF(UPPER(TRIM(JAWABAN!AF14))=AF$4,1,0))</f>
        <v>0</v>
      </c>
      <c r="AG14" s="16" t="n">
        <f aca="false">IF(OR($B14="",AG$4=""),"",IF(UPPER(TRIM(JAWABAN!AG14))=AG$4,1,0))</f>
        <v>1</v>
      </c>
      <c r="AH14" s="16" t="n">
        <f aca="false">IF(OR($B14="",AH$4=""),"",IF(UPPER(TRIM(JAWABAN!AH14))=AH$4,1,0))</f>
        <v>1</v>
      </c>
      <c r="AI14" s="16" t="n">
        <f aca="false">IF(OR($B14="",AI$4=""),"",IF(UPPER(TRIM(JAWABAN!AI14))=AI$4,1,0))</f>
        <v>1</v>
      </c>
      <c r="AJ14" s="16" t="n">
        <f aca="false">IF(OR($B14="",AJ$4=""),"",IF(UPPER(TRIM(JAWABAN!AJ14))=AJ$4,1,0))</f>
        <v>1</v>
      </c>
      <c r="AK14" s="16" t="n">
        <f aca="false">IF(OR($B14="",AK$4=""),"",IF(UPPER(TRIM(JAWABAN!AK14))=AK$4,1,0))</f>
        <v>1</v>
      </c>
      <c r="AL14" s="16" t="n">
        <f aca="false">IF(OR($B14="",AL$4=""),"",IF(UPPER(TRIM(JAWABAN!AL14))=AL$4,1,0))</f>
        <v>0</v>
      </c>
      <c r="AM14" s="16" t="n">
        <f aca="false">IF(OR($B14="",AM$4=""),"",IF(UPPER(TRIM(JAWABAN!AM14))=AM$4,1,0))</f>
        <v>0</v>
      </c>
      <c r="AN14" s="16" t="n">
        <f aca="false">IF(OR($B14="",AN$4=""),"",IF(UPPER(TRIM(JAWABAN!AN14))=AN$4,1,0))</f>
        <v>0</v>
      </c>
      <c r="AO14" s="16" t="n">
        <f aca="false">IF(OR($B14="",AO$4=""),"",IF(UPPER(TRIM(JAWABAN!AO14))=AO$4,1,0))</f>
        <v>1</v>
      </c>
      <c r="AP14" s="16" t="n">
        <f aca="false">IF(OR($B14="",AP$4=""),"",IF(UPPER(TRIM(JAWABAN!AP14))=AP$4,1,0))</f>
        <v>1</v>
      </c>
      <c r="AQ14" s="16" t="n">
        <f aca="false">IF(OR($B14="",AQ$4=""),"",IF(UPPER(TRIM(JAWABAN!AQ14))=AQ$4,1,0))</f>
        <v>0</v>
      </c>
      <c r="AR14" s="16" t="n">
        <f aca="false">IF(OR($B14="",AR$4=""),"",IF(UPPER(TRIM(JAWABAN!AR14))=AR$4,1,0))</f>
        <v>1</v>
      </c>
      <c r="AS14" s="30" t="n">
        <f aca="false">IF($B14="","",SUM(E14:AR14))</f>
        <v>19</v>
      </c>
      <c r="AT14" s="31" t="n">
        <f aca="false">IF(AS14="","",IFERROR(ROUND(AS14/K_SOAL*100,2),""))</f>
        <v>47.5</v>
      </c>
      <c r="AU14" s="16" t="str">
        <f aca="false">IF(AT14="","",IF(AT14&gt;=NILAI_KKM,"Tuntas","Belum tuntas"))</f>
        <v>Belum tuntas</v>
      </c>
      <c r="AV14" s="32" t="n">
        <f aca="false">IF(AS14="","",AS14+(1000-ROW())/100000)</f>
        <v>19.00986</v>
      </c>
      <c r="AW14" s="33" t="n">
        <f aca="false">IF(AV14="","",RANK(AV14,$AV$6:$AV$55))</f>
        <v>24</v>
      </c>
      <c r="AX14" s="30" t="n">
        <f aca="false">IF(AS14="","",RANK(AS14,$AS$6:$AS$55))</f>
        <v>24</v>
      </c>
      <c r="AY14" s="16" t="str">
        <f aca="false">IF(AW14="","",IF(AW14&lt;=N_GRUP,"Atas",IF(AW14&gt;N_SISWA-N_GRUP,"Bawah","Tengah")))</f>
        <v>Bawah</v>
      </c>
    </row>
    <row r="15" customFormat="false" ht="15" hidden="false" customHeight="true" outlineLevel="0" collapsed="false">
      <c r="A15" s="16" t="n">
        <v>10</v>
      </c>
      <c r="B15" s="20" t="str">
        <f aca="false">IF(JAWABAN!B15="","",JAWABAN!B15)</f>
        <v>SISWA 10</v>
      </c>
      <c r="C15" s="20" t="str">
        <f aca="false">IF(JAWABAN!C15="","",JAWABAN!C15)</f>
        <v>IX G</v>
      </c>
      <c r="D15" s="29" t="str">
        <f aca="false">IF(JAWABAN!D15="","",JAWABAN!D15)</f>
        <v>0123022</v>
      </c>
      <c r="E15" s="16" t="n">
        <f aca="false">IF(OR($B15="",E$4=""),"",IF(UPPER(TRIM(JAWABAN!E15))=E$4,1,0))</f>
        <v>1</v>
      </c>
      <c r="F15" s="16" t="n">
        <f aca="false">IF(OR($B15="",F$4=""),"",IF(UPPER(TRIM(JAWABAN!F15))=F$4,1,0))</f>
        <v>1</v>
      </c>
      <c r="G15" s="16" t="n">
        <f aca="false">IF(OR($B15="",G$4=""),"",IF(UPPER(TRIM(JAWABAN!G15))=G$4,1,0))</f>
        <v>1</v>
      </c>
      <c r="H15" s="16" t="n">
        <f aca="false">IF(OR($B15="",H$4=""),"",IF(UPPER(TRIM(JAWABAN!H15))=H$4,1,0))</f>
        <v>1</v>
      </c>
      <c r="I15" s="16" t="n">
        <f aca="false">IF(OR($B15="",I$4=""),"",IF(UPPER(TRIM(JAWABAN!I15))=I$4,1,0))</f>
        <v>1</v>
      </c>
      <c r="J15" s="16" t="n">
        <f aca="false">IF(OR($B15="",J$4=""),"",IF(UPPER(TRIM(JAWABAN!J15))=J$4,1,0))</f>
        <v>0</v>
      </c>
      <c r="K15" s="16" t="n">
        <f aca="false">IF(OR($B15="",K$4=""),"",IF(UPPER(TRIM(JAWABAN!K15))=K$4,1,0))</f>
        <v>0</v>
      </c>
      <c r="L15" s="16" t="n">
        <f aca="false">IF(OR($B15="",L$4=""),"",IF(UPPER(TRIM(JAWABAN!L15))=L$4,1,0))</f>
        <v>0</v>
      </c>
      <c r="M15" s="16" t="n">
        <f aca="false">IF(OR($B15="",M$4=""),"",IF(UPPER(TRIM(JAWABAN!M15))=M$4,1,0))</f>
        <v>0</v>
      </c>
      <c r="N15" s="16" t="n">
        <f aca="false">IF(OR($B15="",N$4=""),"",IF(UPPER(TRIM(JAWABAN!N15))=N$4,1,0))</f>
        <v>0</v>
      </c>
      <c r="O15" s="16" t="n">
        <f aca="false">IF(OR($B15="",O$4=""),"",IF(UPPER(TRIM(JAWABAN!O15))=O$4,1,0))</f>
        <v>0</v>
      </c>
      <c r="P15" s="16" t="n">
        <f aca="false">IF(OR($B15="",P$4=""),"",IF(UPPER(TRIM(JAWABAN!P15))=P$4,1,0))</f>
        <v>1</v>
      </c>
      <c r="Q15" s="16" t="n">
        <f aca="false">IF(OR($B15="",Q$4=""),"",IF(UPPER(TRIM(JAWABAN!Q15))=Q$4,1,0))</f>
        <v>1</v>
      </c>
      <c r="R15" s="16" t="n">
        <f aca="false">IF(OR($B15="",R$4=""),"",IF(UPPER(TRIM(JAWABAN!R15))=R$4,1,0))</f>
        <v>0</v>
      </c>
      <c r="S15" s="16" t="n">
        <f aca="false">IF(OR($B15="",S$4=""),"",IF(UPPER(TRIM(JAWABAN!S15))=S$4,1,0))</f>
        <v>0</v>
      </c>
      <c r="T15" s="16" t="n">
        <f aca="false">IF(OR($B15="",T$4=""),"",IF(UPPER(TRIM(JAWABAN!T15))=T$4,1,0))</f>
        <v>0</v>
      </c>
      <c r="U15" s="16" t="n">
        <f aca="false">IF(OR($B15="",U$4=""),"",IF(UPPER(TRIM(JAWABAN!U15))=U$4,1,0))</f>
        <v>0</v>
      </c>
      <c r="V15" s="16" t="n">
        <f aca="false">IF(OR($B15="",V$4=""),"",IF(UPPER(TRIM(JAWABAN!V15))=V$4,1,0))</f>
        <v>0</v>
      </c>
      <c r="W15" s="16" t="n">
        <f aca="false">IF(OR($B15="",W$4=""),"",IF(UPPER(TRIM(JAWABAN!W15))=W$4,1,0))</f>
        <v>1</v>
      </c>
      <c r="X15" s="16" t="n">
        <f aca="false">IF(OR($B15="",X$4=""),"",IF(UPPER(TRIM(JAWABAN!X15))=X$4,1,0))</f>
        <v>1</v>
      </c>
      <c r="Y15" s="16" t="n">
        <f aca="false">IF(OR($B15="",Y$4=""),"",IF(UPPER(TRIM(JAWABAN!Y15))=Y$4,1,0))</f>
        <v>0</v>
      </c>
      <c r="Z15" s="16" t="n">
        <f aca="false">IF(OR($B15="",Z$4=""),"",IF(UPPER(TRIM(JAWABAN!Z15))=Z$4,1,0))</f>
        <v>0</v>
      </c>
      <c r="AA15" s="16" t="n">
        <f aca="false">IF(OR($B15="",AA$4=""),"",IF(UPPER(TRIM(JAWABAN!AA15))=AA$4,1,0))</f>
        <v>0</v>
      </c>
      <c r="AB15" s="16" t="n">
        <f aca="false">IF(OR($B15="",AB$4=""),"",IF(UPPER(TRIM(JAWABAN!AB15))=AB$4,1,0))</f>
        <v>1</v>
      </c>
      <c r="AC15" s="16" t="n">
        <f aca="false">IF(OR($B15="",AC$4=""),"",IF(UPPER(TRIM(JAWABAN!AC15))=AC$4,1,0))</f>
        <v>1</v>
      </c>
      <c r="AD15" s="16" t="n">
        <f aca="false">IF(OR($B15="",AD$4=""),"",IF(UPPER(TRIM(JAWABAN!AD15))=AD$4,1,0))</f>
        <v>0</v>
      </c>
      <c r="AE15" s="16" t="n">
        <f aca="false">IF(OR($B15="",AE$4=""),"",IF(UPPER(TRIM(JAWABAN!AE15))=AE$4,1,0))</f>
        <v>0</v>
      </c>
      <c r="AF15" s="16" t="n">
        <f aca="false">IF(OR($B15="",AF$4=""),"",IF(UPPER(TRIM(JAWABAN!AF15))=AF$4,1,0))</f>
        <v>0</v>
      </c>
      <c r="AG15" s="16" t="n">
        <f aca="false">IF(OR($B15="",AG$4=""),"",IF(UPPER(TRIM(JAWABAN!AG15))=AG$4,1,0))</f>
        <v>0</v>
      </c>
      <c r="AH15" s="16" t="n">
        <f aca="false">IF(OR($B15="",AH$4=""),"",IF(UPPER(TRIM(JAWABAN!AH15))=AH$4,1,0))</f>
        <v>1</v>
      </c>
      <c r="AI15" s="16" t="n">
        <f aca="false">IF(OR($B15="",AI$4=""),"",IF(UPPER(TRIM(JAWABAN!AI15))=AI$4,1,0))</f>
        <v>0</v>
      </c>
      <c r="AJ15" s="16" t="n">
        <f aca="false">IF(OR($B15="",AJ$4=""),"",IF(UPPER(TRIM(JAWABAN!AJ15))=AJ$4,1,0))</f>
        <v>1</v>
      </c>
      <c r="AK15" s="16" t="n">
        <f aca="false">IF(OR($B15="",AK$4=""),"",IF(UPPER(TRIM(JAWABAN!AK15))=AK$4,1,0))</f>
        <v>1</v>
      </c>
      <c r="AL15" s="16" t="n">
        <f aca="false">IF(OR($B15="",AL$4=""),"",IF(UPPER(TRIM(JAWABAN!AL15))=AL$4,1,0))</f>
        <v>1</v>
      </c>
      <c r="AM15" s="16" t="n">
        <f aca="false">IF(OR($B15="",AM$4=""),"",IF(UPPER(TRIM(JAWABAN!AM15))=AM$4,1,0))</f>
        <v>1</v>
      </c>
      <c r="AN15" s="16" t="n">
        <f aca="false">IF(OR($B15="",AN$4=""),"",IF(UPPER(TRIM(JAWABAN!AN15))=AN$4,1,0))</f>
        <v>1</v>
      </c>
      <c r="AO15" s="16" t="n">
        <f aca="false">IF(OR($B15="",AO$4=""),"",IF(UPPER(TRIM(JAWABAN!AO15))=AO$4,1,0))</f>
        <v>0</v>
      </c>
      <c r="AP15" s="16" t="n">
        <f aca="false">IF(OR($B15="",AP$4=""),"",IF(UPPER(TRIM(JAWABAN!AP15))=AP$4,1,0))</f>
        <v>1</v>
      </c>
      <c r="AQ15" s="16" t="n">
        <f aca="false">IF(OR($B15="",AQ$4=""),"",IF(UPPER(TRIM(JAWABAN!AQ15))=AQ$4,1,0))</f>
        <v>1</v>
      </c>
      <c r="AR15" s="16" t="n">
        <f aca="false">IF(OR($B15="",AR$4=""),"",IF(UPPER(TRIM(JAWABAN!AR15))=AR$4,1,0))</f>
        <v>1</v>
      </c>
      <c r="AS15" s="30" t="n">
        <f aca="false">IF($B15="","",SUM(E15:AR15))</f>
        <v>20</v>
      </c>
      <c r="AT15" s="31" t="n">
        <f aca="false">IF(AS15="","",IFERROR(ROUND(AS15/K_SOAL*100,2),""))</f>
        <v>50</v>
      </c>
      <c r="AU15" s="16" t="str">
        <f aca="false">IF(AT15="","",IF(AT15&gt;=NILAI_KKM,"Tuntas","Belum tuntas"))</f>
        <v>Belum tuntas</v>
      </c>
      <c r="AV15" s="32" t="n">
        <f aca="false">IF(AS15="","",AS15+(1000-ROW())/100000)</f>
        <v>20.00985</v>
      </c>
      <c r="AW15" s="33" t="n">
        <f aca="false">IF(AV15="","",RANK(AV15,$AV$6:$AV$55))</f>
        <v>22</v>
      </c>
      <c r="AX15" s="30" t="n">
        <f aca="false">IF(AS15="","",RANK(AS15,$AS$6:$AS$55))</f>
        <v>21</v>
      </c>
      <c r="AY15" s="16" t="str">
        <f aca="false">IF(AW15="","",IF(AW15&lt;=N_GRUP,"Atas",IF(AW15&gt;N_SISWA-N_GRUP,"Bawah","Tengah")))</f>
        <v>Tengah</v>
      </c>
    </row>
    <row r="16" customFormat="false" ht="15" hidden="false" customHeight="true" outlineLevel="0" collapsed="false">
      <c r="A16" s="16" t="n">
        <v>11</v>
      </c>
      <c r="B16" s="20" t="str">
        <f aca="false">IF(JAWABAN!B16="","",JAWABAN!B16)</f>
        <v>SISWA 11</v>
      </c>
      <c r="C16" s="20" t="str">
        <f aca="false">IF(JAWABAN!C16="","",JAWABAN!C16)</f>
        <v>IX G</v>
      </c>
      <c r="D16" s="29" t="str">
        <f aca="false">IF(JAWABAN!D16="","",JAWABAN!D16)</f>
        <v>0123021</v>
      </c>
      <c r="E16" s="16" t="n">
        <f aca="false">IF(OR($B16="",E$4=""),"",IF(UPPER(TRIM(JAWABAN!E16))=E$4,1,0))</f>
        <v>1</v>
      </c>
      <c r="F16" s="16" t="n">
        <f aca="false">IF(OR($B16="",F$4=""),"",IF(UPPER(TRIM(JAWABAN!F16))=F$4,1,0))</f>
        <v>1</v>
      </c>
      <c r="G16" s="16" t="n">
        <f aca="false">IF(OR($B16="",G$4=""),"",IF(UPPER(TRIM(JAWABAN!G16))=G$4,1,0))</f>
        <v>0</v>
      </c>
      <c r="H16" s="16" t="n">
        <f aca="false">IF(OR($B16="",H$4=""),"",IF(UPPER(TRIM(JAWABAN!H16))=H$4,1,0))</f>
        <v>1</v>
      </c>
      <c r="I16" s="16" t="n">
        <f aca="false">IF(OR($B16="",I$4=""),"",IF(UPPER(TRIM(JAWABAN!I16))=I$4,1,0))</f>
        <v>0</v>
      </c>
      <c r="J16" s="16" t="n">
        <f aca="false">IF(OR($B16="",J$4=""),"",IF(UPPER(TRIM(JAWABAN!J16))=J$4,1,0))</f>
        <v>1</v>
      </c>
      <c r="K16" s="16" t="n">
        <f aca="false">IF(OR($B16="",K$4=""),"",IF(UPPER(TRIM(JAWABAN!K16))=K$4,1,0))</f>
        <v>1</v>
      </c>
      <c r="L16" s="16" t="n">
        <f aca="false">IF(OR($B16="",L$4=""),"",IF(UPPER(TRIM(JAWABAN!L16))=L$4,1,0))</f>
        <v>1</v>
      </c>
      <c r="M16" s="16" t="n">
        <f aca="false">IF(OR($B16="",M$4=""),"",IF(UPPER(TRIM(JAWABAN!M16))=M$4,1,0))</f>
        <v>0</v>
      </c>
      <c r="N16" s="16" t="n">
        <f aca="false">IF(OR($B16="",N$4=""),"",IF(UPPER(TRIM(JAWABAN!N16))=N$4,1,0))</f>
        <v>1</v>
      </c>
      <c r="O16" s="16" t="n">
        <f aca="false">IF(OR($B16="",O$4=""),"",IF(UPPER(TRIM(JAWABAN!O16))=O$4,1,0))</f>
        <v>0</v>
      </c>
      <c r="P16" s="16" t="n">
        <f aca="false">IF(OR($B16="",P$4=""),"",IF(UPPER(TRIM(JAWABAN!P16))=P$4,1,0))</f>
        <v>1</v>
      </c>
      <c r="Q16" s="16" t="n">
        <f aca="false">IF(OR($B16="",Q$4=""),"",IF(UPPER(TRIM(JAWABAN!Q16))=Q$4,1,0))</f>
        <v>1</v>
      </c>
      <c r="R16" s="16" t="n">
        <f aca="false">IF(OR($B16="",R$4=""),"",IF(UPPER(TRIM(JAWABAN!R16))=R$4,1,0))</f>
        <v>1</v>
      </c>
      <c r="S16" s="16" t="n">
        <f aca="false">IF(OR($B16="",S$4=""),"",IF(UPPER(TRIM(JAWABAN!S16))=S$4,1,0))</f>
        <v>1</v>
      </c>
      <c r="T16" s="16" t="n">
        <f aca="false">IF(OR($B16="",T$4=""),"",IF(UPPER(TRIM(JAWABAN!T16))=T$4,1,0))</f>
        <v>1</v>
      </c>
      <c r="U16" s="16" t="n">
        <f aca="false">IF(OR($B16="",U$4=""),"",IF(UPPER(TRIM(JAWABAN!U16))=U$4,1,0))</f>
        <v>0</v>
      </c>
      <c r="V16" s="16" t="n">
        <f aca="false">IF(OR($B16="",V$4=""),"",IF(UPPER(TRIM(JAWABAN!V16))=V$4,1,0))</f>
        <v>1</v>
      </c>
      <c r="W16" s="16" t="n">
        <f aca="false">IF(OR($B16="",W$4=""),"",IF(UPPER(TRIM(JAWABAN!W16))=W$4,1,0))</f>
        <v>0</v>
      </c>
      <c r="X16" s="16" t="n">
        <f aca="false">IF(OR($B16="",X$4=""),"",IF(UPPER(TRIM(JAWABAN!X16))=X$4,1,0))</f>
        <v>1</v>
      </c>
      <c r="Y16" s="16" t="n">
        <f aca="false">IF(OR($B16="",Y$4=""),"",IF(UPPER(TRIM(JAWABAN!Y16))=Y$4,1,0))</f>
        <v>1</v>
      </c>
      <c r="Z16" s="16" t="n">
        <f aca="false">IF(OR($B16="",Z$4=""),"",IF(UPPER(TRIM(JAWABAN!Z16))=Z$4,1,0))</f>
        <v>1</v>
      </c>
      <c r="AA16" s="16" t="n">
        <f aca="false">IF(OR($B16="",AA$4=""),"",IF(UPPER(TRIM(JAWABAN!AA16))=AA$4,1,0))</f>
        <v>1</v>
      </c>
      <c r="AB16" s="16" t="n">
        <f aca="false">IF(OR($B16="",AB$4=""),"",IF(UPPER(TRIM(JAWABAN!AB16))=AB$4,1,0))</f>
        <v>1</v>
      </c>
      <c r="AC16" s="16" t="n">
        <f aca="false">IF(OR($B16="",AC$4=""),"",IF(UPPER(TRIM(JAWABAN!AC16))=AC$4,1,0))</f>
        <v>1</v>
      </c>
      <c r="AD16" s="16" t="n">
        <f aca="false">IF(OR($B16="",AD$4=""),"",IF(UPPER(TRIM(JAWABAN!AD16))=AD$4,1,0))</f>
        <v>1</v>
      </c>
      <c r="AE16" s="16" t="n">
        <f aca="false">IF(OR($B16="",AE$4=""),"",IF(UPPER(TRIM(JAWABAN!AE16))=AE$4,1,0))</f>
        <v>1</v>
      </c>
      <c r="AF16" s="16" t="n">
        <f aca="false">IF(OR($B16="",AF$4=""),"",IF(UPPER(TRIM(JAWABAN!AF16))=AF$4,1,0))</f>
        <v>0</v>
      </c>
      <c r="AG16" s="16" t="n">
        <f aca="false">IF(OR($B16="",AG$4=""),"",IF(UPPER(TRIM(JAWABAN!AG16))=AG$4,1,0))</f>
        <v>1</v>
      </c>
      <c r="AH16" s="16" t="n">
        <f aca="false">IF(OR($B16="",AH$4=""),"",IF(UPPER(TRIM(JAWABAN!AH16))=AH$4,1,0))</f>
        <v>0</v>
      </c>
      <c r="AI16" s="16" t="n">
        <f aca="false">IF(OR($B16="",AI$4=""),"",IF(UPPER(TRIM(JAWABAN!AI16))=AI$4,1,0))</f>
        <v>0</v>
      </c>
      <c r="AJ16" s="16" t="n">
        <f aca="false">IF(OR($B16="",AJ$4=""),"",IF(UPPER(TRIM(JAWABAN!AJ16))=AJ$4,1,0))</f>
        <v>0</v>
      </c>
      <c r="AK16" s="16" t="n">
        <f aca="false">IF(OR($B16="",AK$4=""),"",IF(UPPER(TRIM(JAWABAN!AK16))=AK$4,1,0))</f>
        <v>1</v>
      </c>
      <c r="AL16" s="16" t="n">
        <f aca="false">IF(OR($B16="",AL$4=""),"",IF(UPPER(TRIM(JAWABAN!AL16))=AL$4,1,0))</f>
        <v>1</v>
      </c>
      <c r="AM16" s="16" t="n">
        <f aca="false">IF(OR($B16="",AM$4=""),"",IF(UPPER(TRIM(JAWABAN!AM16))=AM$4,1,0))</f>
        <v>1</v>
      </c>
      <c r="AN16" s="16" t="n">
        <f aca="false">IF(OR($B16="",AN$4=""),"",IF(UPPER(TRIM(JAWABAN!AN16))=AN$4,1,0))</f>
        <v>1</v>
      </c>
      <c r="AO16" s="16" t="n">
        <f aca="false">IF(OR($B16="",AO$4=""),"",IF(UPPER(TRIM(JAWABAN!AO16))=AO$4,1,0))</f>
        <v>1</v>
      </c>
      <c r="AP16" s="16" t="n">
        <f aca="false">IF(OR($B16="",AP$4=""),"",IF(UPPER(TRIM(JAWABAN!AP16))=AP$4,1,0))</f>
        <v>0</v>
      </c>
      <c r="AQ16" s="16" t="n">
        <f aca="false">IF(OR($B16="",AQ$4=""),"",IF(UPPER(TRIM(JAWABAN!AQ16))=AQ$4,1,0))</f>
        <v>1</v>
      </c>
      <c r="AR16" s="16" t="n">
        <f aca="false">IF(OR($B16="",AR$4=""),"",IF(UPPER(TRIM(JAWABAN!AR16))=AR$4,1,0))</f>
        <v>1</v>
      </c>
      <c r="AS16" s="30" t="n">
        <f aca="false">IF($B16="","",SUM(E16:AR16))</f>
        <v>29</v>
      </c>
      <c r="AT16" s="31" t="n">
        <f aca="false">IF(AS16="","",IFERROR(ROUND(AS16/K_SOAL*100,2),""))</f>
        <v>72.5</v>
      </c>
      <c r="AU16" s="16" t="str">
        <f aca="false">IF(AT16="","",IF(AT16&gt;=NILAI_KKM,"Tuntas","Belum tuntas"))</f>
        <v>Belum tuntas</v>
      </c>
      <c r="AV16" s="32" t="n">
        <f aca="false">IF(AS16="","",AS16+(1000-ROW())/100000)</f>
        <v>29.00984</v>
      </c>
      <c r="AW16" s="33" t="n">
        <f aca="false">IF(AV16="","",RANK(AV16,$AV$6:$AV$55))</f>
        <v>8</v>
      </c>
      <c r="AX16" s="30" t="n">
        <f aca="false">IF(AS16="","",RANK(AS16,$AS$6:$AS$55))</f>
        <v>7</v>
      </c>
      <c r="AY16" s="16" t="str">
        <f aca="false">IF(AW16="","",IF(AW16&lt;=N_GRUP,"Atas",IF(AW16&gt;N_SISWA-N_GRUP,"Bawah","Tengah")))</f>
        <v>Atas</v>
      </c>
    </row>
    <row r="17" customFormat="false" ht="15" hidden="false" customHeight="true" outlineLevel="0" collapsed="false">
      <c r="A17" s="16" t="n">
        <v>12</v>
      </c>
      <c r="B17" s="20" t="str">
        <f aca="false">IF(JAWABAN!B17="","",JAWABAN!B17)</f>
        <v>SISWA 12</v>
      </c>
      <c r="C17" s="20" t="str">
        <f aca="false">IF(JAWABAN!C17="","",JAWABAN!C17)</f>
        <v>IX G</v>
      </c>
      <c r="D17" s="29" t="str">
        <f aca="false">IF(JAWABAN!D17="","",JAWABAN!D17)</f>
        <v>0123020</v>
      </c>
      <c r="E17" s="16" t="n">
        <f aca="false">IF(OR($B17="",E$4=""),"",IF(UPPER(TRIM(JAWABAN!E17))=E$4,1,0))</f>
        <v>1</v>
      </c>
      <c r="F17" s="16" t="n">
        <f aca="false">IF(OR($B17="",F$4=""),"",IF(UPPER(TRIM(JAWABAN!F17))=F$4,1,0))</f>
        <v>1</v>
      </c>
      <c r="G17" s="16" t="n">
        <f aca="false">IF(OR($B17="",G$4=""),"",IF(UPPER(TRIM(JAWABAN!G17))=G$4,1,0))</f>
        <v>0</v>
      </c>
      <c r="H17" s="16" t="n">
        <f aca="false">IF(OR($B17="",H$4=""),"",IF(UPPER(TRIM(JAWABAN!H17))=H$4,1,0))</f>
        <v>1</v>
      </c>
      <c r="I17" s="16" t="n">
        <f aca="false">IF(OR($B17="",I$4=""),"",IF(UPPER(TRIM(JAWABAN!I17))=I$4,1,0))</f>
        <v>1</v>
      </c>
      <c r="J17" s="16" t="n">
        <f aca="false">IF(OR($B17="",J$4=""),"",IF(UPPER(TRIM(JAWABAN!J17))=J$4,1,0))</f>
        <v>1</v>
      </c>
      <c r="K17" s="16" t="n">
        <f aca="false">IF(OR($B17="",K$4=""),"",IF(UPPER(TRIM(JAWABAN!K17))=K$4,1,0))</f>
        <v>0</v>
      </c>
      <c r="L17" s="16" t="n">
        <f aca="false">IF(OR($B17="",L$4=""),"",IF(UPPER(TRIM(JAWABAN!L17))=L$4,1,0))</f>
        <v>1</v>
      </c>
      <c r="M17" s="16" t="n">
        <f aca="false">IF(OR($B17="",M$4=""),"",IF(UPPER(TRIM(JAWABAN!M17))=M$4,1,0))</f>
        <v>0</v>
      </c>
      <c r="N17" s="16" t="n">
        <f aca="false">IF(OR($B17="",N$4=""),"",IF(UPPER(TRIM(JAWABAN!N17))=N$4,1,0))</f>
        <v>1</v>
      </c>
      <c r="O17" s="16" t="n">
        <f aca="false">IF(OR($B17="",O$4=""),"",IF(UPPER(TRIM(JAWABAN!O17))=O$4,1,0))</f>
        <v>1</v>
      </c>
      <c r="P17" s="16" t="n">
        <f aca="false">IF(OR($B17="",P$4=""),"",IF(UPPER(TRIM(JAWABAN!P17))=P$4,1,0))</f>
        <v>1</v>
      </c>
      <c r="Q17" s="16" t="n">
        <f aca="false">IF(OR($B17="",Q$4=""),"",IF(UPPER(TRIM(JAWABAN!Q17))=Q$4,1,0))</f>
        <v>0</v>
      </c>
      <c r="R17" s="16" t="n">
        <f aca="false">IF(OR($B17="",R$4=""),"",IF(UPPER(TRIM(JAWABAN!R17))=R$4,1,0))</f>
        <v>1</v>
      </c>
      <c r="S17" s="16" t="n">
        <f aca="false">IF(OR($B17="",S$4=""),"",IF(UPPER(TRIM(JAWABAN!S17))=S$4,1,0))</f>
        <v>0</v>
      </c>
      <c r="T17" s="16" t="n">
        <f aca="false">IF(OR($B17="",T$4=""),"",IF(UPPER(TRIM(JAWABAN!T17))=T$4,1,0))</f>
        <v>0</v>
      </c>
      <c r="U17" s="16" t="n">
        <f aca="false">IF(OR($B17="",U$4=""),"",IF(UPPER(TRIM(JAWABAN!U17))=U$4,1,0))</f>
        <v>0</v>
      </c>
      <c r="V17" s="16" t="n">
        <f aca="false">IF(OR($B17="",V$4=""),"",IF(UPPER(TRIM(JAWABAN!V17))=V$4,1,0))</f>
        <v>0</v>
      </c>
      <c r="W17" s="16" t="n">
        <f aca="false">IF(OR($B17="",W$4=""),"",IF(UPPER(TRIM(JAWABAN!W17))=W$4,1,0))</f>
        <v>0</v>
      </c>
      <c r="X17" s="16" t="n">
        <f aca="false">IF(OR($B17="",X$4=""),"",IF(UPPER(TRIM(JAWABAN!X17))=X$4,1,0))</f>
        <v>0</v>
      </c>
      <c r="Y17" s="16" t="n">
        <f aca="false">IF(OR($B17="",Y$4=""),"",IF(UPPER(TRIM(JAWABAN!Y17))=Y$4,1,0))</f>
        <v>1</v>
      </c>
      <c r="Z17" s="16" t="n">
        <f aca="false">IF(OR($B17="",Z$4=""),"",IF(UPPER(TRIM(JAWABAN!Z17))=Z$4,1,0))</f>
        <v>0</v>
      </c>
      <c r="AA17" s="16" t="n">
        <f aca="false">IF(OR($B17="",AA$4=""),"",IF(UPPER(TRIM(JAWABAN!AA17))=AA$4,1,0))</f>
        <v>1</v>
      </c>
      <c r="AB17" s="16" t="n">
        <f aca="false">IF(OR($B17="",AB$4=""),"",IF(UPPER(TRIM(JAWABAN!AB17))=AB$4,1,0))</f>
        <v>1</v>
      </c>
      <c r="AC17" s="16" t="n">
        <f aca="false">IF(OR($B17="",AC$4=""),"",IF(UPPER(TRIM(JAWABAN!AC17))=AC$4,1,0))</f>
        <v>0</v>
      </c>
      <c r="AD17" s="16" t="n">
        <f aca="false">IF(OR($B17="",AD$4=""),"",IF(UPPER(TRIM(JAWABAN!AD17))=AD$4,1,0))</f>
        <v>1</v>
      </c>
      <c r="AE17" s="16" t="n">
        <f aca="false">IF(OR($B17="",AE$4=""),"",IF(UPPER(TRIM(JAWABAN!AE17))=AE$4,1,0))</f>
        <v>0</v>
      </c>
      <c r="AF17" s="16" t="n">
        <f aca="false">IF(OR($B17="",AF$4=""),"",IF(UPPER(TRIM(JAWABAN!AF17))=AF$4,1,0))</f>
        <v>0</v>
      </c>
      <c r="AG17" s="16" t="n">
        <f aca="false">IF(OR($B17="",AG$4=""),"",IF(UPPER(TRIM(JAWABAN!AG17))=AG$4,1,0))</f>
        <v>0</v>
      </c>
      <c r="AH17" s="16" t="n">
        <f aca="false">IF(OR($B17="",AH$4=""),"",IF(UPPER(TRIM(JAWABAN!AH17))=AH$4,1,0))</f>
        <v>0</v>
      </c>
      <c r="AI17" s="16" t="n">
        <f aca="false">IF(OR($B17="",AI$4=""),"",IF(UPPER(TRIM(JAWABAN!AI17))=AI$4,1,0))</f>
        <v>1</v>
      </c>
      <c r="AJ17" s="16" t="n">
        <f aca="false">IF(OR($B17="",AJ$4=""),"",IF(UPPER(TRIM(JAWABAN!AJ17))=AJ$4,1,0))</f>
        <v>1</v>
      </c>
      <c r="AK17" s="16" t="n">
        <f aca="false">IF(OR($B17="",AK$4=""),"",IF(UPPER(TRIM(JAWABAN!AK17))=AK$4,1,0))</f>
        <v>1</v>
      </c>
      <c r="AL17" s="16" t="n">
        <f aca="false">IF(OR($B17="",AL$4=""),"",IF(UPPER(TRIM(JAWABAN!AL17))=AL$4,1,0))</f>
        <v>1</v>
      </c>
      <c r="AM17" s="16" t="n">
        <f aca="false">IF(OR($B17="",AM$4=""),"",IF(UPPER(TRIM(JAWABAN!AM17))=AM$4,1,0))</f>
        <v>1</v>
      </c>
      <c r="AN17" s="16" t="n">
        <f aca="false">IF(OR($B17="",AN$4=""),"",IF(UPPER(TRIM(JAWABAN!AN17))=AN$4,1,0))</f>
        <v>1</v>
      </c>
      <c r="AO17" s="16" t="n">
        <f aca="false">IF(OR($B17="",AO$4=""),"",IF(UPPER(TRIM(JAWABAN!AO17))=AO$4,1,0))</f>
        <v>0</v>
      </c>
      <c r="AP17" s="16" t="n">
        <f aca="false">IF(OR($B17="",AP$4=""),"",IF(UPPER(TRIM(JAWABAN!AP17))=AP$4,1,0))</f>
        <v>1</v>
      </c>
      <c r="AQ17" s="16" t="n">
        <f aca="false">IF(OR($B17="",AQ$4=""),"",IF(UPPER(TRIM(JAWABAN!AQ17))=AQ$4,1,0))</f>
        <v>1</v>
      </c>
      <c r="AR17" s="16" t="n">
        <f aca="false">IF(OR($B17="",AR$4=""),"",IF(UPPER(TRIM(JAWABAN!AR17))=AR$4,1,0))</f>
        <v>1</v>
      </c>
      <c r="AS17" s="30" t="n">
        <f aca="false">IF($B17="","",SUM(E17:AR17))</f>
        <v>23</v>
      </c>
      <c r="AT17" s="31" t="n">
        <f aca="false">IF(AS17="","",IFERROR(ROUND(AS17/K_SOAL*100,2),""))</f>
        <v>57.5</v>
      </c>
      <c r="AU17" s="16" t="str">
        <f aca="false">IF(AT17="","",IF(AT17&gt;=NILAI_KKM,"Tuntas","Belum tuntas"))</f>
        <v>Belum tuntas</v>
      </c>
      <c r="AV17" s="32" t="n">
        <f aca="false">IF(AS17="","",AS17+(1000-ROW())/100000)</f>
        <v>23.00983</v>
      </c>
      <c r="AW17" s="33" t="n">
        <f aca="false">IF(AV17="","",RANK(AV17,$AV$6:$AV$55))</f>
        <v>17</v>
      </c>
      <c r="AX17" s="30" t="n">
        <f aca="false">IF(AS17="","",RANK(AS17,$AS$6:$AS$55))</f>
        <v>16</v>
      </c>
      <c r="AY17" s="16" t="str">
        <f aca="false">IF(AW17="","",IF(AW17&lt;=N_GRUP,"Atas",IF(AW17&gt;N_SISWA-N_GRUP,"Bawah","Tengah")))</f>
        <v>Tengah</v>
      </c>
    </row>
    <row r="18" customFormat="false" ht="15" hidden="false" customHeight="true" outlineLevel="0" collapsed="false">
      <c r="A18" s="16" t="n">
        <v>13</v>
      </c>
      <c r="B18" s="20" t="str">
        <f aca="false">IF(JAWABAN!B18="","",JAWABAN!B18)</f>
        <v>SISWA 13</v>
      </c>
      <c r="C18" s="20" t="str">
        <f aca="false">IF(JAWABAN!C18="","",JAWABAN!C18)</f>
        <v>IX G</v>
      </c>
      <c r="D18" s="29" t="str">
        <f aca="false">IF(JAWABAN!D18="","",JAWABAN!D18)</f>
        <v>0123019</v>
      </c>
      <c r="E18" s="16" t="n">
        <f aca="false">IF(OR($B18="",E$4=""),"",IF(UPPER(TRIM(JAWABAN!E18))=E$4,1,0))</f>
        <v>1</v>
      </c>
      <c r="F18" s="16" t="n">
        <f aca="false">IF(OR($B18="",F$4=""),"",IF(UPPER(TRIM(JAWABAN!F18))=F$4,1,0))</f>
        <v>1</v>
      </c>
      <c r="G18" s="16" t="n">
        <f aca="false">IF(OR($B18="",G$4=""),"",IF(UPPER(TRIM(JAWABAN!G18))=G$4,1,0))</f>
        <v>0</v>
      </c>
      <c r="H18" s="16" t="n">
        <f aca="false">IF(OR($B18="",H$4=""),"",IF(UPPER(TRIM(JAWABAN!H18))=H$4,1,0))</f>
        <v>1</v>
      </c>
      <c r="I18" s="16" t="n">
        <f aca="false">IF(OR($B18="",I$4=""),"",IF(UPPER(TRIM(JAWABAN!I18))=I$4,1,0))</f>
        <v>1</v>
      </c>
      <c r="J18" s="16" t="n">
        <f aca="false">IF(OR($B18="",J$4=""),"",IF(UPPER(TRIM(JAWABAN!J18))=J$4,1,0))</f>
        <v>1</v>
      </c>
      <c r="K18" s="16" t="n">
        <f aca="false">IF(OR($B18="",K$4=""),"",IF(UPPER(TRIM(JAWABAN!K18))=K$4,1,0))</f>
        <v>1</v>
      </c>
      <c r="L18" s="16" t="n">
        <f aca="false">IF(OR($B18="",L$4=""),"",IF(UPPER(TRIM(JAWABAN!L18))=L$4,1,0))</f>
        <v>1</v>
      </c>
      <c r="M18" s="16" t="n">
        <f aca="false">IF(OR($B18="",M$4=""),"",IF(UPPER(TRIM(JAWABAN!M18))=M$4,1,0))</f>
        <v>0</v>
      </c>
      <c r="N18" s="16" t="n">
        <f aca="false">IF(OR($B18="",N$4=""),"",IF(UPPER(TRIM(JAWABAN!N18))=N$4,1,0))</f>
        <v>0</v>
      </c>
      <c r="O18" s="16" t="n">
        <f aca="false">IF(OR($B18="",O$4=""),"",IF(UPPER(TRIM(JAWABAN!O18))=O$4,1,0))</f>
        <v>1</v>
      </c>
      <c r="P18" s="16" t="n">
        <f aca="false">IF(OR($B18="",P$4=""),"",IF(UPPER(TRIM(JAWABAN!P18))=P$4,1,0))</f>
        <v>1</v>
      </c>
      <c r="Q18" s="16" t="n">
        <f aca="false">IF(OR($B18="",Q$4=""),"",IF(UPPER(TRIM(JAWABAN!Q18))=Q$4,1,0))</f>
        <v>1</v>
      </c>
      <c r="R18" s="16" t="n">
        <f aca="false">IF(OR($B18="",R$4=""),"",IF(UPPER(TRIM(JAWABAN!R18))=R$4,1,0))</f>
        <v>0</v>
      </c>
      <c r="S18" s="16" t="n">
        <f aca="false">IF(OR($B18="",S$4=""),"",IF(UPPER(TRIM(JAWABAN!S18))=S$4,1,0))</f>
        <v>1</v>
      </c>
      <c r="T18" s="16" t="n">
        <f aca="false">IF(OR($B18="",T$4=""),"",IF(UPPER(TRIM(JAWABAN!T18))=T$4,1,0))</f>
        <v>1</v>
      </c>
      <c r="U18" s="16" t="n">
        <f aca="false">IF(OR($B18="",U$4=""),"",IF(UPPER(TRIM(JAWABAN!U18))=U$4,1,0))</f>
        <v>0</v>
      </c>
      <c r="V18" s="16" t="n">
        <f aca="false">IF(OR($B18="",V$4=""),"",IF(UPPER(TRIM(JAWABAN!V18))=V$4,1,0))</f>
        <v>1</v>
      </c>
      <c r="W18" s="16" t="n">
        <f aca="false">IF(OR($B18="",W$4=""),"",IF(UPPER(TRIM(JAWABAN!W18))=W$4,1,0))</f>
        <v>1</v>
      </c>
      <c r="X18" s="16" t="n">
        <f aca="false">IF(OR($B18="",X$4=""),"",IF(UPPER(TRIM(JAWABAN!X18))=X$4,1,0))</f>
        <v>1</v>
      </c>
      <c r="Y18" s="16" t="n">
        <f aca="false">IF(OR($B18="",Y$4=""),"",IF(UPPER(TRIM(JAWABAN!Y18))=Y$4,1,0))</f>
        <v>1</v>
      </c>
      <c r="Z18" s="16" t="n">
        <f aca="false">IF(OR($B18="",Z$4=""),"",IF(UPPER(TRIM(JAWABAN!Z18))=Z$4,1,0))</f>
        <v>1</v>
      </c>
      <c r="AA18" s="16" t="n">
        <f aca="false">IF(OR($B18="",AA$4=""),"",IF(UPPER(TRIM(JAWABAN!AA18))=AA$4,1,0))</f>
        <v>0</v>
      </c>
      <c r="AB18" s="16" t="n">
        <f aca="false">IF(OR($B18="",AB$4=""),"",IF(UPPER(TRIM(JAWABAN!AB18))=AB$4,1,0))</f>
        <v>1</v>
      </c>
      <c r="AC18" s="16" t="n">
        <f aca="false">IF(OR($B18="",AC$4=""),"",IF(UPPER(TRIM(JAWABAN!AC18))=AC$4,1,0))</f>
        <v>1</v>
      </c>
      <c r="AD18" s="16" t="n">
        <f aca="false">IF(OR($B18="",AD$4=""),"",IF(UPPER(TRIM(JAWABAN!AD18))=AD$4,1,0))</f>
        <v>1</v>
      </c>
      <c r="AE18" s="16" t="n">
        <f aca="false">IF(OR($B18="",AE$4=""),"",IF(UPPER(TRIM(JAWABAN!AE18))=AE$4,1,0))</f>
        <v>1</v>
      </c>
      <c r="AF18" s="16" t="n">
        <f aca="false">IF(OR($B18="",AF$4=""),"",IF(UPPER(TRIM(JAWABAN!AF18))=AF$4,1,0))</f>
        <v>1</v>
      </c>
      <c r="AG18" s="16" t="n">
        <f aca="false">IF(OR($B18="",AG$4=""),"",IF(UPPER(TRIM(JAWABAN!AG18))=AG$4,1,0))</f>
        <v>1</v>
      </c>
      <c r="AH18" s="16" t="n">
        <f aca="false">IF(OR($B18="",AH$4=""),"",IF(UPPER(TRIM(JAWABAN!AH18))=AH$4,1,0))</f>
        <v>1</v>
      </c>
      <c r="AI18" s="16" t="n">
        <f aca="false">IF(OR($B18="",AI$4=""),"",IF(UPPER(TRIM(JAWABAN!AI18))=AI$4,1,0))</f>
        <v>0</v>
      </c>
      <c r="AJ18" s="16" t="n">
        <f aca="false">IF(OR($B18="",AJ$4=""),"",IF(UPPER(TRIM(JAWABAN!AJ18))=AJ$4,1,0))</f>
        <v>1</v>
      </c>
      <c r="AK18" s="16" t="n">
        <f aca="false">IF(OR($B18="",AK$4=""),"",IF(UPPER(TRIM(JAWABAN!AK18))=AK$4,1,0))</f>
        <v>1</v>
      </c>
      <c r="AL18" s="16" t="n">
        <f aca="false">IF(OR($B18="",AL$4=""),"",IF(UPPER(TRIM(JAWABAN!AL18))=AL$4,1,0))</f>
        <v>1</v>
      </c>
      <c r="AM18" s="16" t="n">
        <f aca="false">IF(OR($B18="",AM$4=""),"",IF(UPPER(TRIM(JAWABAN!AM18))=AM$4,1,0))</f>
        <v>1</v>
      </c>
      <c r="AN18" s="16" t="n">
        <f aca="false">IF(OR($B18="",AN$4=""),"",IF(UPPER(TRIM(JAWABAN!AN18))=AN$4,1,0))</f>
        <v>1</v>
      </c>
      <c r="AO18" s="16" t="n">
        <f aca="false">IF(OR($B18="",AO$4=""),"",IF(UPPER(TRIM(JAWABAN!AO18))=AO$4,1,0))</f>
        <v>1</v>
      </c>
      <c r="AP18" s="16" t="n">
        <f aca="false">IF(OR($B18="",AP$4=""),"",IF(UPPER(TRIM(JAWABAN!AP18))=AP$4,1,0))</f>
        <v>1</v>
      </c>
      <c r="AQ18" s="16" t="n">
        <f aca="false">IF(OR($B18="",AQ$4=""),"",IF(UPPER(TRIM(JAWABAN!AQ18))=AQ$4,1,0))</f>
        <v>0</v>
      </c>
      <c r="AR18" s="16" t="n">
        <f aca="false">IF(OR($B18="",AR$4=""),"",IF(UPPER(TRIM(JAWABAN!AR18))=AR$4,1,0))</f>
        <v>1</v>
      </c>
      <c r="AS18" s="30" t="n">
        <f aca="false">IF($B18="","",SUM(E18:AR18))</f>
        <v>32</v>
      </c>
      <c r="AT18" s="31" t="n">
        <f aca="false">IF(AS18="","",IFERROR(ROUND(AS18/K_SOAL*100,2),""))</f>
        <v>80</v>
      </c>
      <c r="AU18" s="16" t="str">
        <f aca="false">IF(AT18="","",IF(AT18&gt;=NILAI_KKM,"Tuntas","Belum tuntas"))</f>
        <v>Tuntas</v>
      </c>
      <c r="AV18" s="32" t="n">
        <f aca="false">IF(AS18="","",AS18+(1000-ROW())/100000)</f>
        <v>32.00982</v>
      </c>
      <c r="AW18" s="33" t="n">
        <f aca="false">IF(AV18="","",RANK(AV18,$AV$6:$AV$55))</f>
        <v>3</v>
      </c>
      <c r="AX18" s="30" t="n">
        <f aca="false">IF(AS18="","",RANK(AS18,$AS$6:$AS$55))</f>
        <v>3</v>
      </c>
      <c r="AY18" s="16" t="str">
        <f aca="false">IF(AW18="","",IF(AW18&lt;=N_GRUP,"Atas",IF(AW18&gt;N_SISWA-N_GRUP,"Bawah","Tengah")))</f>
        <v>Atas</v>
      </c>
    </row>
    <row r="19" customFormat="false" ht="15" hidden="false" customHeight="true" outlineLevel="0" collapsed="false">
      <c r="A19" s="16" t="n">
        <v>14</v>
      </c>
      <c r="B19" s="20" t="str">
        <f aca="false">IF(JAWABAN!B19="","",JAWABAN!B19)</f>
        <v>SISWA 14</v>
      </c>
      <c r="C19" s="20" t="str">
        <f aca="false">IF(JAWABAN!C19="","",JAWABAN!C19)</f>
        <v>IX G</v>
      </c>
      <c r="D19" s="29" t="str">
        <f aca="false">IF(JAWABAN!D19="","",JAWABAN!D19)</f>
        <v>0123018</v>
      </c>
      <c r="E19" s="16" t="n">
        <f aca="false">IF(OR($B19="",E$4=""),"",IF(UPPER(TRIM(JAWABAN!E19))=E$4,1,0))</f>
        <v>0</v>
      </c>
      <c r="F19" s="16" t="n">
        <f aca="false">IF(OR($B19="",F$4=""),"",IF(UPPER(TRIM(JAWABAN!F19))=F$4,1,0))</f>
        <v>1</v>
      </c>
      <c r="G19" s="16" t="n">
        <f aca="false">IF(OR($B19="",G$4=""),"",IF(UPPER(TRIM(JAWABAN!G19))=G$4,1,0))</f>
        <v>0</v>
      </c>
      <c r="H19" s="16" t="n">
        <f aca="false">IF(OR($B19="",H$4=""),"",IF(UPPER(TRIM(JAWABAN!H19))=H$4,1,0))</f>
        <v>0</v>
      </c>
      <c r="I19" s="16" t="n">
        <f aca="false">IF(OR($B19="",I$4=""),"",IF(UPPER(TRIM(JAWABAN!I19))=I$4,1,0))</f>
        <v>0</v>
      </c>
      <c r="J19" s="16" t="n">
        <f aca="false">IF(OR($B19="",J$4=""),"",IF(UPPER(TRIM(JAWABAN!J19))=J$4,1,0))</f>
        <v>0</v>
      </c>
      <c r="K19" s="16" t="n">
        <f aca="false">IF(OR($B19="",K$4=""),"",IF(UPPER(TRIM(JAWABAN!K19))=K$4,1,0))</f>
        <v>0</v>
      </c>
      <c r="L19" s="16" t="n">
        <f aca="false">IF(OR($B19="",L$4=""),"",IF(UPPER(TRIM(JAWABAN!L19))=L$4,1,0))</f>
        <v>0</v>
      </c>
      <c r="M19" s="16" t="n">
        <f aca="false">IF(OR($B19="",M$4=""),"",IF(UPPER(TRIM(JAWABAN!M19))=M$4,1,0))</f>
        <v>0</v>
      </c>
      <c r="N19" s="16" t="n">
        <f aca="false">IF(OR($B19="",N$4=""),"",IF(UPPER(TRIM(JAWABAN!N19))=N$4,1,0))</f>
        <v>1</v>
      </c>
      <c r="O19" s="16" t="n">
        <f aca="false">IF(OR($B19="",O$4=""),"",IF(UPPER(TRIM(JAWABAN!O19))=O$4,1,0))</f>
        <v>0</v>
      </c>
      <c r="P19" s="16" t="n">
        <f aca="false">IF(OR($B19="",P$4=""),"",IF(UPPER(TRIM(JAWABAN!P19))=P$4,1,0))</f>
        <v>0</v>
      </c>
      <c r="Q19" s="16" t="n">
        <f aca="false">IF(OR($B19="",Q$4=""),"",IF(UPPER(TRIM(JAWABAN!Q19))=Q$4,1,0))</f>
        <v>1</v>
      </c>
      <c r="R19" s="16" t="n">
        <f aca="false">IF(OR($B19="",R$4=""),"",IF(UPPER(TRIM(JAWABAN!R19))=R$4,1,0))</f>
        <v>0</v>
      </c>
      <c r="S19" s="16" t="n">
        <f aca="false">IF(OR($B19="",S$4=""),"",IF(UPPER(TRIM(JAWABAN!S19))=S$4,1,0))</f>
        <v>0</v>
      </c>
      <c r="T19" s="16" t="n">
        <f aca="false">IF(OR($B19="",T$4=""),"",IF(UPPER(TRIM(JAWABAN!T19))=T$4,1,0))</f>
        <v>1</v>
      </c>
      <c r="U19" s="16" t="n">
        <f aca="false">IF(OR($B19="",U$4=""),"",IF(UPPER(TRIM(JAWABAN!U19))=U$4,1,0))</f>
        <v>0</v>
      </c>
      <c r="V19" s="16" t="n">
        <f aca="false">IF(OR($B19="",V$4=""),"",IF(UPPER(TRIM(JAWABAN!V19))=V$4,1,0))</f>
        <v>0</v>
      </c>
      <c r="W19" s="16" t="n">
        <f aca="false">IF(OR($B19="",W$4=""),"",IF(UPPER(TRIM(JAWABAN!W19))=W$4,1,0))</f>
        <v>0</v>
      </c>
      <c r="X19" s="16" t="n">
        <f aca="false">IF(OR($B19="",X$4=""),"",IF(UPPER(TRIM(JAWABAN!X19))=X$4,1,0))</f>
        <v>1</v>
      </c>
      <c r="Y19" s="16" t="n">
        <f aca="false">IF(OR($B19="",Y$4=""),"",IF(UPPER(TRIM(JAWABAN!Y19))=Y$4,1,0))</f>
        <v>1</v>
      </c>
      <c r="Z19" s="16" t="n">
        <f aca="false">IF(OR($B19="",Z$4=""),"",IF(UPPER(TRIM(JAWABAN!Z19))=Z$4,1,0))</f>
        <v>1</v>
      </c>
      <c r="AA19" s="16" t="n">
        <f aca="false">IF(OR($B19="",AA$4=""),"",IF(UPPER(TRIM(JAWABAN!AA19))=AA$4,1,0))</f>
        <v>0</v>
      </c>
      <c r="AB19" s="16" t="n">
        <f aca="false">IF(OR($B19="",AB$4=""),"",IF(UPPER(TRIM(JAWABAN!AB19))=AB$4,1,0))</f>
        <v>0</v>
      </c>
      <c r="AC19" s="16" t="n">
        <f aca="false">IF(OR($B19="",AC$4=""),"",IF(UPPER(TRIM(JAWABAN!AC19))=AC$4,1,0))</f>
        <v>0</v>
      </c>
      <c r="AD19" s="16" t="n">
        <f aca="false">IF(OR($B19="",AD$4=""),"",IF(UPPER(TRIM(JAWABAN!AD19))=AD$4,1,0))</f>
        <v>1</v>
      </c>
      <c r="AE19" s="16" t="n">
        <f aca="false">IF(OR($B19="",AE$4=""),"",IF(UPPER(TRIM(JAWABAN!AE19))=AE$4,1,0))</f>
        <v>1</v>
      </c>
      <c r="AF19" s="16" t="n">
        <f aca="false">IF(OR($B19="",AF$4=""),"",IF(UPPER(TRIM(JAWABAN!AF19))=AF$4,1,0))</f>
        <v>0</v>
      </c>
      <c r="AG19" s="16" t="n">
        <f aca="false">IF(OR($B19="",AG$4=""),"",IF(UPPER(TRIM(JAWABAN!AG19))=AG$4,1,0))</f>
        <v>0</v>
      </c>
      <c r="AH19" s="16" t="n">
        <f aca="false">IF(OR($B19="",AH$4=""),"",IF(UPPER(TRIM(JAWABAN!AH19))=AH$4,1,0))</f>
        <v>0</v>
      </c>
      <c r="AI19" s="16" t="n">
        <f aca="false">IF(OR($B19="",AI$4=""),"",IF(UPPER(TRIM(JAWABAN!AI19))=AI$4,1,0))</f>
        <v>1</v>
      </c>
      <c r="AJ19" s="16" t="n">
        <f aca="false">IF(OR($B19="",AJ$4=""),"",IF(UPPER(TRIM(JAWABAN!AJ19))=AJ$4,1,0))</f>
        <v>1</v>
      </c>
      <c r="AK19" s="16" t="n">
        <f aca="false">IF(OR($B19="",AK$4=""),"",IF(UPPER(TRIM(JAWABAN!AK19))=AK$4,1,0))</f>
        <v>1</v>
      </c>
      <c r="AL19" s="16" t="n">
        <f aca="false">IF(OR($B19="",AL$4=""),"",IF(UPPER(TRIM(JAWABAN!AL19))=AL$4,1,0))</f>
        <v>0</v>
      </c>
      <c r="AM19" s="16" t="n">
        <f aca="false">IF(OR($B19="",AM$4=""),"",IF(UPPER(TRIM(JAWABAN!AM19))=AM$4,1,0))</f>
        <v>0</v>
      </c>
      <c r="AN19" s="16" t="n">
        <f aca="false">IF(OR($B19="",AN$4=""),"",IF(UPPER(TRIM(JAWABAN!AN19))=AN$4,1,0))</f>
        <v>0</v>
      </c>
      <c r="AO19" s="16" t="n">
        <f aca="false">IF(OR($B19="",AO$4=""),"",IF(UPPER(TRIM(JAWABAN!AO19))=AO$4,1,0))</f>
        <v>0</v>
      </c>
      <c r="AP19" s="16" t="n">
        <f aca="false">IF(OR($B19="",AP$4=""),"",IF(UPPER(TRIM(JAWABAN!AP19))=AP$4,1,0))</f>
        <v>0</v>
      </c>
      <c r="AQ19" s="16" t="n">
        <f aca="false">IF(OR($B19="",AQ$4=""),"",IF(UPPER(TRIM(JAWABAN!AQ19))=AQ$4,1,0))</f>
        <v>1</v>
      </c>
      <c r="AR19" s="16" t="n">
        <f aca="false">IF(OR($B19="",AR$4=""),"",IF(UPPER(TRIM(JAWABAN!AR19))=AR$4,1,0))</f>
        <v>0</v>
      </c>
      <c r="AS19" s="30" t="n">
        <f aca="false">IF($B19="","",SUM(E19:AR19))</f>
        <v>13</v>
      </c>
      <c r="AT19" s="31" t="n">
        <f aca="false">IF(AS19="","",IFERROR(ROUND(AS19/K_SOAL*100,2),""))</f>
        <v>32.5</v>
      </c>
      <c r="AU19" s="16" t="str">
        <f aca="false">IF(AT19="","",IF(AT19&gt;=NILAI_KKM,"Tuntas","Belum tuntas"))</f>
        <v>Belum tuntas</v>
      </c>
      <c r="AV19" s="32" t="n">
        <f aca="false">IF(AS19="","",AS19+(1000-ROW())/100000)</f>
        <v>13.00981</v>
      </c>
      <c r="AW19" s="33" t="n">
        <f aca="false">IF(AV19="","",RANK(AV19,$AV$6:$AV$55))</f>
        <v>31</v>
      </c>
      <c r="AX19" s="30" t="n">
        <f aca="false">IF(AS19="","",RANK(AS19,$AS$6:$AS$55))</f>
        <v>31</v>
      </c>
      <c r="AY19" s="16" t="str">
        <f aca="false">IF(AW19="","",IF(AW19&lt;=N_GRUP,"Atas",IF(AW19&gt;N_SISWA-N_GRUP,"Bawah","Tengah")))</f>
        <v>Bawah</v>
      </c>
    </row>
    <row r="20" customFormat="false" ht="15" hidden="false" customHeight="true" outlineLevel="0" collapsed="false">
      <c r="A20" s="16" t="n">
        <v>15</v>
      </c>
      <c r="B20" s="20" t="str">
        <f aca="false">IF(JAWABAN!B20="","",JAWABAN!B20)</f>
        <v>SISWA 15</v>
      </c>
      <c r="C20" s="20" t="str">
        <f aca="false">IF(JAWABAN!C20="","",JAWABAN!C20)</f>
        <v>IX G</v>
      </c>
      <c r="D20" s="29" t="str">
        <f aca="false">IF(JAWABAN!D20="","",JAWABAN!D20)</f>
        <v>0123017</v>
      </c>
      <c r="E20" s="16" t="n">
        <f aca="false">IF(OR($B20="",E$4=""),"",IF(UPPER(TRIM(JAWABAN!E20))=E$4,1,0))</f>
        <v>1</v>
      </c>
      <c r="F20" s="16" t="n">
        <f aca="false">IF(OR($B20="",F$4=""),"",IF(UPPER(TRIM(JAWABAN!F20))=F$4,1,0))</f>
        <v>1</v>
      </c>
      <c r="G20" s="16" t="n">
        <f aca="false">IF(OR($B20="",G$4=""),"",IF(UPPER(TRIM(JAWABAN!G20))=G$4,1,0))</f>
        <v>1</v>
      </c>
      <c r="H20" s="16" t="n">
        <f aca="false">IF(OR($B20="",H$4=""),"",IF(UPPER(TRIM(JAWABAN!H20))=H$4,1,0))</f>
        <v>1</v>
      </c>
      <c r="I20" s="16" t="n">
        <f aca="false">IF(OR($B20="",I$4=""),"",IF(UPPER(TRIM(JAWABAN!I20))=I$4,1,0))</f>
        <v>1</v>
      </c>
      <c r="J20" s="16" t="n">
        <f aca="false">IF(OR($B20="",J$4=""),"",IF(UPPER(TRIM(JAWABAN!J20))=J$4,1,0))</f>
        <v>0</v>
      </c>
      <c r="K20" s="16" t="n">
        <f aca="false">IF(OR($B20="",K$4=""),"",IF(UPPER(TRIM(JAWABAN!K20))=K$4,1,0))</f>
        <v>1</v>
      </c>
      <c r="L20" s="16" t="n">
        <f aca="false">IF(OR($B20="",L$4=""),"",IF(UPPER(TRIM(JAWABAN!L20))=L$4,1,0))</f>
        <v>1</v>
      </c>
      <c r="M20" s="16" t="n">
        <f aca="false">IF(OR($B20="",M$4=""),"",IF(UPPER(TRIM(JAWABAN!M20))=M$4,1,0))</f>
        <v>1</v>
      </c>
      <c r="N20" s="16" t="n">
        <f aca="false">IF(OR($B20="",N$4=""),"",IF(UPPER(TRIM(JAWABAN!N20))=N$4,1,0))</f>
        <v>0</v>
      </c>
      <c r="O20" s="16" t="n">
        <f aca="false">IF(OR($B20="",O$4=""),"",IF(UPPER(TRIM(JAWABAN!O20))=O$4,1,0))</f>
        <v>1</v>
      </c>
      <c r="P20" s="16" t="n">
        <f aca="false">IF(OR($B20="",P$4=""),"",IF(UPPER(TRIM(JAWABAN!P20))=P$4,1,0))</f>
        <v>0</v>
      </c>
      <c r="Q20" s="16" t="n">
        <f aca="false">IF(OR($B20="",Q$4=""),"",IF(UPPER(TRIM(JAWABAN!Q20))=Q$4,1,0))</f>
        <v>0</v>
      </c>
      <c r="R20" s="16" t="n">
        <f aca="false">IF(OR($B20="",R$4=""),"",IF(UPPER(TRIM(JAWABAN!R20))=R$4,1,0))</f>
        <v>0</v>
      </c>
      <c r="S20" s="16" t="n">
        <f aca="false">IF(OR($B20="",S$4=""),"",IF(UPPER(TRIM(JAWABAN!S20))=S$4,1,0))</f>
        <v>1</v>
      </c>
      <c r="T20" s="16" t="n">
        <f aca="false">IF(OR($B20="",T$4=""),"",IF(UPPER(TRIM(JAWABAN!T20))=T$4,1,0))</f>
        <v>0</v>
      </c>
      <c r="U20" s="16" t="n">
        <f aca="false">IF(OR($B20="",U$4=""),"",IF(UPPER(TRIM(JAWABAN!U20))=U$4,1,0))</f>
        <v>1</v>
      </c>
      <c r="V20" s="16" t="n">
        <f aca="false">IF(OR($B20="",V$4=""),"",IF(UPPER(TRIM(JAWABAN!V20))=V$4,1,0))</f>
        <v>0</v>
      </c>
      <c r="W20" s="16" t="n">
        <f aca="false">IF(OR($B20="",W$4=""),"",IF(UPPER(TRIM(JAWABAN!W20))=W$4,1,0))</f>
        <v>0</v>
      </c>
      <c r="X20" s="16" t="n">
        <f aca="false">IF(OR($B20="",X$4=""),"",IF(UPPER(TRIM(JAWABAN!X20))=X$4,1,0))</f>
        <v>0</v>
      </c>
      <c r="Y20" s="16" t="n">
        <f aca="false">IF(OR($B20="",Y$4=""),"",IF(UPPER(TRIM(JAWABAN!Y20))=Y$4,1,0))</f>
        <v>0</v>
      </c>
      <c r="Z20" s="16" t="n">
        <f aca="false">IF(OR($B20="",Z$4=""),"",IF(UPPER(TRIM(JAWABAN!Z20))=Z$4,1,0))</f>
        <v>1</v>
      </c>
      <c r="AA20" s="16" t="n">
        <f aca="false">IF(OR($B20="",AA$4=""),"",IF(UPPER(TRIM(JAWABAN!AA20))=AA$4,1,0))</f>
        <v>1</v>
      </c>
      <c r="AB20" s="16" t="n">
        <f aca="false">IF(OR($B20="",AB$4=""),"",IF(UPPER(TRIM(JAWABAN!AB20))=AB$4,1,0))</f>
        <v>1</v>
      </c>
      <c r="AC20" s="16" t="n">
        <f aca="false">IF(OR($B20="",AC$4=""),"",IF(UPPER(TRIM(JAWABAN!AC20))=AC$4,1,0))</f>
        <v>0</v>
      </c>
      <c r="AD20" s="16" t="n">
        <f aca="false">IF(OR($B20="",AD$4=""),"",IF(UPPER(TRIM(JAWABAN!AD20))=AD$4,1,0))</f>
        <v>0</v>
      </c>
      <c r="AE20" s="16" t="n">
        <f aca="false">IF(OR($B20="",AE$4=""),"",IF(UPPER(TRIM(JAWABAN!AE20))=AE$4,1,0))</f>
        <v>1</v>
      </c>
      <c r="AF20" s="16" t="n">
        <f aca="false">IF(OR($B20="",AF$4=""),"",IF(UPPER(TRIM(JAWABAN!AF20))=AF$4,1,0))</f>
        <v>0</v>
      </c>
      <c r="AG20" s="16" t="n">
        <f aca="false">IF(OR($B20="",AG$4=""),"",IF(UPPER(TRIM(JAWABAN!AG20))=AG$4,1,0))</f>
        <v>1</v>
      </c>
      <c r="AH20" s="16" t="n">
        <f aca="false">IF(OR($B20="",AH$4=""),"",IF(UPPER(TRIM(JAWABAN!AH20))=AH$4,1,0))</f>
        <v>0</v>
      </c>
      <c r="AI20" s="16" t="n">
        <f aca="false">IF(OR($B20="",AI$4=""),"",IF(UPPER(TRIM(JAWABAN!AI20))=AI$4,1,0))</f>
        <v>1</v>
      </c>
      <c r="AJ20" s="16" t="n">
        <f aca="false">IF(OR($B20="",AJ$4=""),"",IF(UPPER(TRIM(JAWABAN!AJ20))=AJ$4,1,0))</f>
        <v>1</v>
      </c>
      <c r="AK20" s="16" t="n">
        <f aca="false">IF(OR($B20="",AK$4=""),"",IF(UPPER(TRIM(JAWABAN!AK20))=AK$4,1,0))</f>
        <v>0</v>
      </c>
      <c r="AL20" s="16" t="n">
        <f aca="false">IF(OR($B20="",AL$4=""),"",IF(UPPER(TRIM(JAWABAN!AL20))=AL$4,1,0))</f>
        <v>1</v>
      </c>
      <c r="AM20" s="16" t="n">
        <f aca="false">IF(OR($B20="",AM$4=""),"",IF(UPPER(TRIM(JAWABAN!AM20))=AM$4,1,0))</f>
        <v>1</v>
      </c>
      <c r="AN20" s="16" t="n">
        <f aca="false">IF(OR($B20="",AN$4=""),"",IF(UPPER(TRIM(JAWABAN!AN20))=AN$4,1,0))</f>
        <v>1</v>
      </c>
      <c r="AO20" s="16" t="n">
        <f aca="false">IF(OR($B20="",AO$4=""),"",IF(UPPER(TRIM(JAWABAN!AO20))=AO$4,1,0))</f>
        <v>1</v>
      </c>
      <c r="AP20" s="16" t="n">
        <f aca="false">IF(OR($B20="",AP$4=""),"",IF(UPPER(TRIM(JAWABAN!AP20))=AP$4,1,0))</f>
        <v>0</v>
      </c>
      <c r="AQ20" s="16" t="n">
        <f aca="false">IF(OR($B20="",AQ$4=""),"",IF(UPPER(TRIM(JAWABAN!AQ20))=AQ$4,1,0))</f>
        <v>0</v>
      </c>
      <c r="AR20" s="16" t="n">
        <f aca="false">IF(OR($B20="",AR$4=""),"",IF(UPPER(TRIM(JAWABAN!AR20))=AR$4,1,0))</f>
        <v>1</v>
      </c>
      <c r="AS20" s="30" t="n">
        <f aca="false">IF($B20="","",SUM(E20:AR20))</f>
        <v>23</v>
      </c>
      <c r="AT20" s="31" t="n">
        <f aca="false">IF(AS20="","",IFERROR(ROUND(AS20/K_SOAL*100,2),""))</f>
        <v>57.5</v>
      </c>
      <c r="AU20" s="16" t="str">
        <f aca="false">IF(AT20="","",IF(AT20&gt;=NILAI_KKM,"Tuntas","Belum tuntas"))</f>
        <v>Belum tuntas</v>
      </c>
      <c r="AV20" s="32" t="n">
        <f aca="false">IF(AS20="","",AS20+(1000-ROW())/100000)</f>
        <v>23.0098</v>
      </c>
      <c r="AW20" s="33" t="n">
        <f aca="false">IF(AV20="","",RANK(AV20,$AV$6:$AV$55))</f>
        <v>18</v>
      </c>
      <c r="AX20" s="30" t="n">
        <f aca="false">IF(AS20="","",RANK(AS20,$AS$6:$AS$55))</f>
        <v>16</v>
      </c>
      <c r="AY20" s="16" t="str">
        <f aca="false">IF(AW20="","",IF(AW20&lt;=N_GRUP,"Atas",IF(AW20&gt;N_SISWA-N_GRUP,"Bawah","Tengah")))</f>
        <v>Tengah</v>
      </c>
    </row>
    <row r="21" customFormat="false" ht="15" hidden="false" customHeight="true" outlineLevel="0" collapsed="false">
      <c r="A21" s="16" t="n">
        <v>16</v>
      </c>
      <c r="B21" s="20" t="str">
        <f aca="false">IF(JAWABAN!B21="","",JAWABAN!B21)</f>
        <v>SISWA 16</v>
      </c>
      <c r="C21" s="20" t="str">
        <f aca="false">IF(JAWABAN!C21="","",JAWABAN!C21)</f>
        <v>IX G</v>
      </c>
      <c r="D21" s="29" t="str">
        <f aca="false">IF(JAWABAN!D21="","",JAWABAN!D21)</f>
        <v>0123016</v>
      </c>
      <c r="E21" s="16" t="n">
        <f aca="false">IF(OR($B21="",E$4=""),"",IF(UPPER(TRIM(JAWABAN!E21))=E$4,1,0))</f>
        <v>1</v>
      </c>
      <c r="F21" s="16" t="n">
        <f aca="false">IF(OR($B21="",F$4=""),"",IF(UPPER(TRIM(JAWABAN!F21))=F$4,1,0))</f>
        <v>0</v>
      </c>
      <c r="G21" s="16" t="n">
        <f aca="false">IF(OR($B21="",G$4=""),"",IF(UPPER(TRIM(JAWABAN!G21))=G$4,1,0))</f>
        <v>0</v>
      </c>
      <c r="H21" s="16" t="n">
        <f aca="false">IF(OR($B21="",H$4=""),"",IF(UPPER(TRIM(JAWABAN!H21))=H$4,1,0))</f>
        <v>1</v>
      </c>
      <c r="I21" s="16" t="n">
        <f aca="false">IF(OR($B21="",I$4=""),"",IF(UPPER(TRIM(JAWABAN!I21))=I$4,1,0))</f>
        <v>0</v>
      </c>
      <c r="J21" s="16" t="n">
        <f aca="false">IF(OR($B21="",J$4=""),"",IF(UPPER(TRIM(JAWABAN!J21))=J$4,1,0))</f>
        <v>1</v>
      </c>
      <c r="K21" s="16" t="n">
        <f aca="false">IF(OR($B21="",K$4=""),"",IF(UPPER(TRIM(JAWABAN!K21))=K$4,1,0))</f>
        <v>1</v>
      </c>
      <c r="L21" s="16" t="n">
        <f aca="false">IF(OR($B21="",L$4=""),"",IF(UPPER(TRIM(JAWABAN!L21))=L$4,1,0))</f>
        <v>1</v>
      </c>
      <c r="M21" s="16" t="n">
        <f aca="false">IF(OR($B21="",M$4=""),"",IF(UPPER(TRIM(JAWABAN!M21))=M$4,1,0))</f>
        <v>0</v>
      </c>
      <c r="N21" s="16" t="n">
        <f aca="false">IF(OR($B21="",N$4=""),"",IF(UPPER(TRIM(JAWABAN!N21))=N$4,1,0))</f>
        <v>1</v>
      </c>
      <c r="O21" s="16" t="n">
        <f aca="false">IF(OR($B21="",O$4=""),"",IF(UPPER(TRIM(JAWABAN!O21))=O$4,1,0))</f>
        <v>1</v>
      </c>
      <c r="P21" s="16" t="n">
        <f aca="false">IF(OR($B21="",P$4=""),"",IF(UPPER(TRIM(JAWABAN!P21))=P$4,1,0))</f>
        <v>1</v>
      </c>
      <c r="Q21" s="16" t="n">
        <f aca="false">IF(OR($B21="",Q$4=""),"",IF(UPPER(TRIM(JAWABAN!Q21))=Q$4,1,0))</f>
        <v>0</v>
      </c>
      <c r="R21" s="16" t="n">
        <f aca="false">IF(OR($B21="",R$4=""),"",IF(UPPER(TRIM(JAWABAN!R21))=R$4,1,0))</f>
        <v>1</v>
      </c>
      <c r="S21" s="16" t="n">
        <f aca="false">IF(OR($B21="",S$4=""),"",IF(UPPER(TRIM(JAWABAN!S21))=S$4,1,0))</f>
        <v>1</v>
      </c>
      <c r="T21" s="16" t="n">
        <f aca="false">IF(OR($B21="",T$4=""),"",IF(UPPER(TRIM(JAWABAN!T21))=T$4,1,0))</f>
        <v>1</v>
      </c>
      <c r="U21" s="16" t="n">
        <f aca="false">IF(OR($B21="",U$4=""),"",IF(UPPER(TRIM(JAWABAN!U21))=U$4,1,0))</f>
        <v>0</v>
      </c>
      <c r="V21" s="16" t="n">
        <f aca="false">IF(OR($B21="",V$4=""),"",IF(UPPER(TRIM(JAWABAN!V21))=V$4,1,0))</f>
        <v>1</v>
      </c>
      <c r="W21" s="16" t="n">
        <f aca="false">IF(OR($B21="",W$4=""),"",IF(UPPER(TRIM(JAWABAN!W21))=W$4,1,0))</f>
        <v>1</v>
      </c>
      <c r="X21" s="16" t="n">
        <f aca="false">IF(OR($B21="",X$4=""),"",IF(UPPER(TRIM(JAWABAN!X21))=X$4,1,0))</f>
        <v>1</v>
      </c>
      <c r="Y21" s="16" t="n">
        <f aca="false">IF(OR($B21="",Y$4=""),"",IF(UPPER(TRIM(JAWABAN!Y21))=Y$4,1,0))</f>
        <v>1</v>
      </c>
      <c r="Z21" s="16" t="n">
        <f aca="false">IF(OR($B21="",Z$4=""),"",IF(UPPER(TRIM(JAWABAN!Z21))=Z$4,1,0))</f>
        <v>1</v>
      </c>
      <c r="AA21" s="16" t="n">
        <f aca="false">IF(OR($B21="",AA$4=""),"",IF(UPPER(TRIM(JAWABAN!AA21))=AA$4,1,0))</f>
        <v>1</v>
      </c>
      <c r="AB21" s="16" t="n">
        <f aca="false">IF(OR($B21="",AB$4=""),"",IF(UPPER(TRIM(JAWABAN!AB21))=AB$4,1,0))</f>
        <v>1</v>
      </c>
      <c r="AC21" s="16" t="n">
        <f aca="false">IF(OR($B21="",AC$4=""),"",IF(UPPER(TRIM(JAWABAN!AC21))=AC$4,1,0))</f>
        <v>1</v>
      </c>
      <c r="AD21" s="16" t="n">
        <f aca="false">IF(OR($B21="",AD$4=""),"",IF(UPPER(TRIM(JAWABAN!AD21))=AD$4,1,0))</f>
        <v>1</v>
      </c>
      <c r="AE21" s="16" t="n">
        <f aca="false">IF(OR($B21="",AE$4=""),"",IF(UPPER(TRIM(JAWABAN!AE21))=AE$4,1,0))</f>
        <v>0</v>
      </c>
      <c r="AF21" s="16" t="n">
        <f aca="false">IF(OR($B21="",AF$4=""),"",IF(UPPER(TRIM(JAWABAN!AF21))=AF$4,1,0))</f>
        <v>1</v>
      </c>
      <c r="AG21" s="16" t="n">
        <f aca="false">IF(OR($B21="",AG$4=""),"",IF(UPPER(TRIM(JAWABAN!AG21))=AG$4,1,0))</f>
        <v>0</v>
      </c>
      <c r="AH21" s="16" t="n">
        <f aca="false">IF(OR($B21="",AH$4=""),"",IF(UPPER(TRIM(JAWABAN!AH21))=AH$4,1,0))</f>
        <v>1</v>
      </c>
      <c r="AI21" s="16" t="n">
        <f aca="false">IF(OR($B21="",AI$4=""),"",IF(UPPER(TRIM(JAWABAN!AI21))=AI$4,1,0))</f>
        <v>1</v>
      </c>
      <c r="AJ21" s="16" t="n">
        <f aca="false">IF(OR($B21="",AJ$4=""),"",IF(UPPER(TRIM(JAWABAN!AJ21))=AJ$4,1,0))</f>
        <v>1</v>
      </c>
      <c r="AK21" s="16" t="n">
        <f aca="false">IF(OR($B21="",AK$4=""),"",IF(UPPER(TRIM(JAWABAN!AK21))=AK$4,1,0))</f>
        <v>1</v>
      </c>
      <c r="AL21" s="16" t="n">
        <f aca="false">IF(OR($B21="",AL$4=""),"",IF(UPPER(TRIM(JAWABAN!AL21))=AL$4,1,0))</f>
        <v>1</v>
      </c>
      <c r="AM21" s="16" t="n">
        <f aca="false">IF(OR($B21="",AM$4=""),"",IF(UPPER(TRIM(JAWABAN!AM21))=AM$4,1,0))</f>
        <v>1</v>
      </c>
      <c r="AN21" s="16" t="n">
        <f aca="false">IF(OR($B21="",AN$4=""),"",IF(UPPER(TRIM(JAWABAN!AN21))=AN$4,1,0))</f>
        <v>1</v>
      </c>
      <c r="AO21" s="16" t="n">
        <f aca="false">IF(OR($B21="",AO$4=""),"",IF(UPPER(TRIM(JAWABAN!AO21))=AO$4,1,0))</f>
        <v>0</v>
      </c>
      <c r="AP21" s="16" t="n">
        <f aca="false">IF(OR($B21="",AP$4=""),"",IF(UPPER(TRIM(JAWABAN!AP21))=AP$4,1,0))</f>
        <v>0</v>
      </c>
      <c r="AQ21" s="16" t="n">
        <f aca="false">IF(OR($B21="",AQ$4=""),"",IF(UPPER(TRIM(JAWABAN!AQ21))=AQ$4,1,0))</f>
        <v>0</v>
      </c>
      <c r="AR21" s="16" t="n">
        <f aca="false">IF(OR($B21="",AR$4=""),"",IF(UPPER(TRIM(JAWABAN!AR21))=AR$4,1,0))</f>
        <v>1</v>
      </c>
      <c r="AS21" s="30" t="n">
        <f aca="false">IF($B21="","",SUM(E21:AR21))</f>
        <v>29</v>
      </c>
      <c r="AT21" s="31" t="n">
        <f aca="false">IF(AS21="","",IFERROR(ROUND(AS21/K_SOAL*100,2),""))</f>
        <v>72.5</v>
      </c>
      <c r="AU21" s="16" t="str">
        <f aca="false">IF(AT21="","",IF(AT21&gt;=NILAI_KKM,"Tuntas","Belum tuntas"))</f>
        <v>Belum tuntas</v>
      </c>
      <c r="AV21" s="32" t="n">
        <f aca="false">IF(AS21="","",AS21+(1000-ROW())/100000)</f>
        <v>29.00979</v>
      </c>
      <c r="AW21" s="33" t="n">
        <f aca="false">IF(AV21="","",RANK(AV21,$AV$6:$AV$55))</f>
        <v>9</v>
      </c>
      <c r="AX21" s="30" t="n">
        <f aca="false">IF(AS21="","",RANK(AS21,$AS$6:$AS$55))</f>
        <v>7</v>
      </c>
      <c r="AY21" s="16" t="str">
        <f aca="false">IF(AW21="","",IF(AW21&lt;=N_GRUP,"Atas",IF(AW21&gt;N_SISWA-N_GRUP,"Bawah","Tengah")))</f>
        <v>Tengah</v>
      </c>
    </row>
    <row r="22" customFormat="false" ht="15" hidden="false" customHeight="true" outlineLevel="0" collapsed="false">
      <c r="A22" s="16" t="n">
        <v>17</v>
      </c>
      <c r="B22" s="20" t="str">
        <f aca="false">IF(JAWABAN!B22="","",JAWABAN!B22)</f>
        <v>SISWA 17</v>
      </c>
      <c r="C22" s="20" t="str">
        <f aca="false">IF(JAWABAN!C22="","",JAWABAN!C22)</f>
        <v>IX G</v>
      </c>
      <c r="D22" s="29" t="str">
        <f aca="false">IF(JAWABAN!D22="","",JAWABAN!D22)</f>
        <v>0123015</v>
      </c>
      <c r="E22" s="16" t="n">
        <f aca="false">IF(OR($B22="",E$4=""),"",IF(UPPER(TRIM(JAWABAN!E22))=E$4,1,0))</f>
        <v>0</v>
      </c>
      <c r="F22" s="16" t="n">
        <f aca="false">IF(OR($B22="",F$4=""),"",IF(UPPER(TRIM(JAWABAN!F22))=F$4,1,0))</f>
        <v>1</v>
      </c>
      <c r="G22" s="16" t="n">
        <f aca="false">IF(OR($B22="",G$4=""),"",IF(UPPER(TRIM(JAWABAN!G22))=G$4,1,0))</f>
        <v>1</v>
      </c>
      <c r="H22" s="16" t="n">
        <f aca="false">IF(OR($B22="",H$4=""),"",IF(UPPER(TRIM(JAWABAN!H22))=H$4,1,0))</f>
        <v>1</v>
      </c>
      <c r="I22" s="16" t="n">
        <f aca="false">IF(OR($B22="",I$4=""),"",IF(UPPER(TRIM(JAWABAN!I22))=I$4,1,0))</f>
        <v>1</v>
      </c>
      <c r="J22" s="16" t="n">
        <f aca="false">IF(OR($B22="",J$4=""),"",IF(UPPER(TRIM(JAWABAN!J22))=J$4,1,0))</f>
        <v>1</v>
      </c>
      <c r="K22" s="16" t="n">
        <f aca="false">IF(OR($B22="",K$4=""),"",IF(UPPER(TRIM(JAWABAN!K22))=K$4,1,0))</f>
        <v>1</v>
      </c>
      <c r="L22" s="16" t="n">
        <f aca="false">IF(OR($B22="",L$4=""),"",IF(UPPER(TRIM(JAWABAN!L22))=L$4,1,0))</f>
        <v>1</v>
      </c>
      <c r="M22" s="16" t="n">
        <f aca="false">IF(OR($B22="",M$4=""),"",IF(UPPER(TRIM(JAWABAN!M22))=M$4,1,0))</f>
        <v>1</v>
      </c>
      <c r="N22" s="16" t="n">
        <f aca="false">IF(OR($B22="",N$4=""),"",IF(UPPER(TRIM(JAWABAN!N22))=N$4,1,0))</f>
        <v>1</v>
      </c>
      <c r="O22" s="16" t="n">
        <f aca="false">IF(OR($B22="",O$4=""),"",IF(UPPER(TRIM(JAWABAN!O22))=O$4,1,0))</f>
        <v>1</v>
      </c>
      <c r="P22" s="16" t="n">
        <f aca="false">IF(OR($B22="",P$4=""),"",IF(UPPER(TRIM(JAWABAN!P22))=P$4,1,0))</f>
        <v>1</v>
      </c>
      <c r="Q22" s="16" t="n">
        <f aca="false">IF(OR($B22="",Q$4=""),"",IF(UPPER(TRIM(JAWABAN!Q22))=Q$4,1,0))</f>
        <v>0</v>
      </c>
      <c r="R22" s="16" t="n">
        <f aca="false">IF(OR($B22="",R$4=""),"",IF(UPPER(TRIM(JAWABAN!R22))=R$4,1,0))</f>
        <v>1</v>
      </c>
      <c r="S22" s="16" t="n">
        <f aca="false">IF(OR($B22="",S$4=""),"",IF(UPPER(TRIM(JAWABAN!S22))=S$4,1,0))</f>
        <v>1</v>
      </c>
      <c r="T22" s="16" t="n">
        <f aca="false">IF(OR($B22="",T$4=""),"",IF(UPPER(TRIM(JAWABAN!T22))=T$4,1,0))</f>
        <v>1</v>
      </c>
      <c r="U22" s="16" t="n">
        <f aca="false">IF(OR($B22="",U$4=""),"",IF(UPPER(TRIM(JAWABAN!U22))=U$4,1,0))</f>
        <v>0</v>
      </c>
      <c r="V22" s="16" t="n">
        <f aca="false">IF(OR($B22="",V$4=""),"",IF(UPPER(TRIM(JAWABAN!V22))=V$4,1,0))</f>
        <v>1</v>
      </c>
      <c r="W22" s="16" t="n">
        <f aca="false">IF(OR($B22="",W$4=""),"",IF(UPPER(TRIM(JAWABAN!W22))=W$4,1,0))</f>
        <v>1</v>
      </c>
      <c r="X22" s="16" t="n">
        <f aca="false">IF(OR($B22="",X$4=""),"",IF(UPPER(TRIM(JAWABAN!X22))=X$4,1,0))</f>
        <v>1</v>
      </c>
      <c r="Y22" s="16" t="n">
        <f aca="false">IF(OR($B22="",Y$4=""),"",IF(UPPER(TRIM(JAWABAN!Y22))=Y$4,1,0))</f>
        <v>0</v>
      </c>
      <c r="Z22" s="16" t="n">
        <f aca="false">IF(OR($B22="",Z$4=""),"",IF(UPPER(TRIM(JAWABAN!Z22))=Z$4,1,0))</f>
        <v>0</v>
      </c>
      <c r="AA22" s="16" t="n">
        <f aca="false">IF(OR($B22="",AA$4=""),"",IF(UPPER(TRIM(JAWABAN!AA22))=AA$4,1,0))</f>
        <v>1</v>
      </c>
      <c r="AB22" s="16" t="n">
        <f aca="false">IF(OR($B22="",AB$4=""),"",IF(UPPER(TRIM(JAWABAN!AB22))=AB$4,1,0))</f>
        <v>1</v>
      </c>
      <c r="AC22" s="16" t="n">
        <f aca="false">IF(OR($B22="",AC$4=""),"",IF(UPPER(TRIM(JAWABAN!AC22))=AC$4,1,0))</f>
        <v>0</v>
      </c>
      <c r="AD22" s="16" t="n">
        <f aca="false">IF(OR($B22="",AD$4=""),"",IF(UPPER(TRIM(JAWABAN!AD22))=AD$4,1,0))</f>
        <v>0</v>
      </c>
      <c r="AE22" s="16" t="n">
        <f aca="false">IF(OR($B22="",AE$4=""),"",IF(UPPER(TRIM(JAWABAN!AE22))=AE$4,1,0))</f>
        <v>1</v>
      </c>
      <c r="AF22" s="16" t="n">
        <f aca="false">IF(OR($B22="",AF$4=""),"",IF(UPPER(TRIM(JAWABAN!AF22))=AF$4,1,0))</f>
        <v>1</v>
      </c>
      <c r="AG22" s="16" t="n">
        <f aca="false">IF(OR($B22="",AG$4=""),"",IF(UPPER(TRIM(JAWABAN!AG22))=AG$4,1,0))</f>
        <v>1</v>
      </c>
      <c r="AH22" s="16" t="n">
        <f aca="false">IF(OR($B22="",AH$4=""),"",IF(UPPER(TRIM(JAWABAN!AH22))=AH$4,1,0))</f>
        <v>1</v>
      </c>
      <c r="AI22" s="16" t="n">
        <f aca="false">IF(OR($B22="",AI$4=""),"",IF(UPPER(TRIM(JAWABAN!AI22))=AI$4,1,0))</f>
        <v>1</v>
      </c>
      <c r="AJ22" s="16" t="n">
        <f aca="false">IF(OR($B22="",AJ$4=""),"",IF(UPPER(TRIM(JAWABAN!AJ22))=AJ$4,1,0))</f>
        <v>1</v>
      </c>
      <c r="AK22" s="16" t="n">
        <f aca="false">IF(OR($B22="",AK$4=""),"",IF(UPPER(TRIM(JAWABAN!AK22))=AK$4,1,0))</f>
        <v>0</v>
      </c>
      <c r="AL22" s="16" t="n">
        <f aca="false">IF(OR($B22="",AL$4=""),"",IF(UPPER(TRIM(JAWABAN!AL22))=AL$4,1,0))</f>
        <v>1</v>
      </c>
      <c r="AM22" s="16" t="n">
        <f aca="false">IF(OR($B22="",AM$4=""),"",IF(UPPER(TRIM(JAWABAN!AM22))=AM$4,1,0))</f>
        <v>1</v>
      </c>
      <c r="AN22" s="16" t="n">
        <f aca="false">IF(OR($B22="",AN$4=""),"",IF(UPPER(TRIM(JAWABAN!AN22))=AN$4,1,0))</f>
        <v>0</v>
      </c>
      <c r="AO22" s="16" t="n">
        <f aca="false">IF(OR($B22="",AO$4=""),"",IF(UPPER(TRIM(JAWABAN!AO22))=AO$4,1,0))</f>
        <v>1</v>
      </c>
      <c r="AP22" s="16" t="n">
        <f aca="false">IF(OR($B22="",AP$4=""),"",IF(UPPER(TRIM(JAWABAN!AP22))=AP$4,1,0))</f>
        <v>1</v>
      </c>
      <c r="AQ22" s="16" t="n">
        <f aca="false">IF(OR($B22="",AQ$4=""),"",IF(UPPER(TRIM(JAWABAN!AQ22))=AQ$4,1,0))</f>
        <v>1</v>
      </c>
      <c r="AR22" s="16" t="n">
        <f aca="false">IF(OR($B22="",AR$4=""),"",IF(UPPER(TRIM(JAWABAN!AR22))=AR$4,1,0))</f>
        <v>1</v>
      </c>
      <c r="AS22" s="30" t="n">
        <f aca="false">IF($B22="","",SUM(E22:AR22))</f>
        <v>31</v>
      </c>
      <c r="AT22" s="31" t="n">
        <f aca="false">IF(AS22="","",IFERROR(ROUND(AS22/K_SOAL*100,2),""))</f>
        <v>77.5</v>
      </c>
      <c r="AU22" s="16" t="str">
        <f aca="false">IF(AT22="","",IF(AT22&gt;=NILAI_KKM,"Tuntas","Belum tuntas"))</f>
        <v>Tuntas</v>
      </c>
      <c r="AV22" s="32" t="n">
        <f aca="false">IF(AS22="","",AS22+(1000-ROW())/100000)</f>
        <v>31.00978</v>
      </c>
      <c r="AW22" s="33" t="n">
        <f aca="false">IF(AV22="","",RANK(AV22,$AV$6:$AV$55))</f>
        <v>4</v>
      </c>
      <c r="AX22" s="30" t="n">
        <f aca="false">IF(AS22="","",RANK(AS22,$AS$6:$AS$55))</f>
        <v>4</v>
      </c>
      <c r="AY22" s="16" t="str">
        <f aca="false">IF(AW22="","",IF(AW22&lt;=N_GRUP,"Atas",IF(AW22&gt;N_SISWA-N_GRUP,"Bawah","Tengah")))</f>
        <v>Atas</v>
      </c>
    </row>
    <row r="23" customFormat="false" ht="15" hidden="false" customHeight="true" outlineLevel="0" collapsed="false">
      <c r="A23" s="16" t="n">
        <v>18</v>
      </c>
      <c r="B23" s="20" t="str">
        <f aca="false">IF(JAWABAN!B23="","",JAWABAN!B23)</f>
        <v>SISWA 18</v>
      </c>
      <c r="C23" s="20" t="str">
        <f aca="false">IF(JAWABAN!C23="","",JAWABAN!C23)</f>
        <v>IX G</v>
      </c>
      <c r="D23" s="29" t="str">
        <f aca="false">IF(JAWABAN!D23="","",JAWABAN!D23)</f>
        <v>0123014</v>
      </c>
      <c r="E23" s="16" t="n">
        <f aca="false">IF(OR($B23="",E$4=""),"",IF(UPPER(TRIM(JAWABAN!E23))=E$4,1,0))</f>
        <v>0</v>
      </c>
      <c r="F23" s="16" t="n">
        <f aca="false">IF(OR($B23="",F$4=""),"",IF(UPPER(TRIM(JAWABAN!F23))=F$4,1,0))</f>
        <v>1</v>
      </c>
      <c r="G23" s="16" t="n">
        <f aca="false">IF(OR($B23="",G$4=""),"",IF(UPPER(TRIM(JAWABAN!G23))=G$4,1,0))</f>
        <v>1</v>
      </c>
      <c r="H23" s="16" t="n">
        <f aca="false">IF(OR($B23="",H$4=""),"",IF(UPPER(TRIM(JAWABAN!H23))=H$4,1,0))</f>
        <v>1</v>
      </c>
      <c r="I23" s="16" t="n">
        <f aca="false">IF(OR($B23="",I$4=""),"",IF(UPPER(TRIM(JAWABAN!I23))=I$4,1,0))</f>
        <v>1</v>
      </c>
      <c r="J23" s="16" t="n">
        <f aca="false">IF(OR($B23="",J$4=""),"",IF(UPPER(TRIM(JAWABAN!J23))=J$4,1,0))</f>
        <v>1</v>
      </c>
      <c r="K23" s="16" t="n">
        <f aca="false">IF(OR($B23="",K$4=""),"",IF(UPPER(TRIM(JAWABAN!K23))=K$4,1,0))</f>
        <v>1</v>
      </c>
      <c r="L23" s="16" t="n">
        <f aca="false">IF(OR($B23="",L$4=""),"",IF(UPPER(TRIM(JAWABAN!L23))=L$4,1,0))</f>
        <v>1</v>
      </c>
      <c r="M23" s="16" t="n">
        <f aca="false">IF(OR($B23="",M$4=""),"",IF(UPPER(TRIM(JAWABAN!M23))=M$4,1,0))</f>
        <v>0</v>
      </c>
      <c r="N23" s="16" t="n">
        <f aca="false">IF(OR($B23="",N$4=""),"",IF(UPPER(TRIM(JAWABAN!N23))=N$4,1,0))</f>
        <v>1</v>
      </c>
      <c r="O23" s="16" t="n">
        <f aca="false">IF(OR($B23="",O$4=""),"",IF(UPPER(TRIM(JAWABAN!O23))=O$4,1,0))</f>
        <v>1</v>
      </c>
      <c r="P23" s="16" t="n">
        <f aca="false">IF(OR($B23="",P$4=""),"",IF(UPPER(TRIM(JAWABAN!P23))=P$4,1,0))</f>
        <v>1</v>
      </c>
      <c r="Q23" s="16" t="n">
        <f aca="false">IF(OR($B23="",Q$4=""),"",IF(UPPER(TRIM(JAWABAN!Q23))=Q$4,1,0))</f>
        <v>0</v>
      </c>
      <c r="R23" s="16" t="n">
        <f aca="false">IF(OR($B23="",R$4=""),"",IF(UPPER(TRIM(JAWABAN!R23))=R$4,1,0))</f>
        <v>1</v>
      </c>
      <c r="S23" s="16" t="n">
        <f aca="false">IF(OR($B23="",S$4=""),"",IF(UPPER(TRIM(JAWABAN!S23))=S$4,1,0))</f>
        <v>1</v>
      </c>
      <c r="T23" s="16" t="n">
        <f aca="false">IF(OR($B23="",T$4=""),"",IF(UPPER(TRIM(JAWABAN!T23))=T$4,1,0))</f>
        <v>1</v>
      </c>
      <c r="U23" s="16" t="n">
        <f aca="false">IF(OR($B23="",U$4=""),"",IF(UPPER(TRIM(JAWABAN!U23))=U$4,1,0))</f>
        <v>1</v>
      </c>
      <c r="V23" s="16" t="n">
        <f aca="false">IF(OR($B23="",V$4=""),"",IF(UPPER(TRIM(JAWABAN!V23))=V$4,1,0))</f>
        <v>0</v>
      </c>
      <c r="W23" s="16" t="n">
        <f aca="false">IF(OR($B23="",W$4=""),"",IF(UPPER(TRIM(JAWABAN!W23))=W$4,1,0))</f>
        <v>1</v>
      </c>
      <c r="X23" s="16" t="n">
        <f aca="false">IF(OR($B23="",X$4=""),"",IF(UPPER(TRIM(JAWABAN!X23))=X$4,1,0))</f>
        <v>1</v>
      </c>
      <c r="Y23" s="16" t="n">
        <f aca="false">IF(OR($B23="",Y$4=""),"",IF(UPPER(TRIM(JAWABAN!Y23))=Y$4,1,0))</f>
        <v>1</v>
      </c>
      <c r="Z23" s="16" t="n">
        <f aca="false">IF(OR($B23="",Z$4=""),"",IF(UPPER(TRIM(JAWABAN!Z23))=Z$4,1,0))</f>
        <v>1</v>
      </c>
      <c r="AA23" s="16" t="n">
        <f aca="false">IF(OR($B23="",AA$4=""),"",IF(UPPER(TRIM(JAWABAN!AA23))=AA$4,1,0))</f>
        <v>0</v>
      </c>
      <c r="AB23" s="16" t="n">
        <f aca="false">IF(OR($B23="",AB$4=""),"",IF(UPPER(TRIM(JAWABAN!AB23))=AB$4,1,0))</f>
        <v>1</v>
      </c>
      <c r="AC23" s="16" t="n">
        <f aca="false">IF(OR($B23="",AC$4=""),"",IF(UPPER(TRIM(JAWABAN!AC23))=AC$4,1,0))</f>
        <v>0</v>
      </c>
      <c r="AD23" s="16" t="n">
        <f aca="false">IF(OR($B23="",AD$4=""),"",IF(UPPER(TRIM(JAWABAN!AD23))=AD$4,1,0))</f>
        <v>1</v>
      </c>
      <c r="AE23" s="16" t="n">
        <f aca="false">IF(OR($B23="",AE$4=""),"",IF(UPPER(TRIM(JAWABAN!AE23))=AE$4,1,0))</f>
        <v>1</v>
      </c>
      <c r="AF23" s="16" t="n">
        <f aca="false">IF(OR($B23="",AF$4=""),"",IF(UPPER(TRIM(JAWABAN!AF23))=AF$4,1,0))</f>
        <v>0</v>
      </c>
      <c r="AG23" s="16" t="n">
        <f aca="false">IF(OR($B23="",AG$4=""),"",IF(UPPER(TRIM(JAWABAN!AG23))=AG$4,1,0))</f>
        <v>1</v>
      </c>
      <c r="AH23" s="16" t="n">
        <f aca="false">IF(OR($B23="",AH$4=""),"",IF(UPPER(TRIM(JAWABAN!AH23))=AH$4,1,0))</f>
        <v>1</v>
      </c>
      <c r="AI23" s="16" t="n">
        <f aca="false">IF(OR($B23="",AI$4=""),"",IF(UPPER(TRIM(JAWABAN!AI23))=AI$4,1,0))</f>
        <v>1</v>
      </c>
      <c r="AJ23" s="16" t="n">
        <f aca="false">IF(OR($B23="",AJ$4=""),"",IF(UPPER(TRIM(JAWABAN!AJ23))=AJ$4,1,0))</f>
        <v>0</v>
      </c>
      <c r="AK23" s="16" t="n">
        <f aca="false">IF(OR($B23="",AK$4=""),"",IF(UPPER(TRIM(JAWABAN!AK23))=AK$4,1,0))</f>
        <v>1</v>
      </c>
      <c r="AL23" s="16" t="n">
        <f aca="false">IF(OR($B23="",AL$4=""),"",IF(UPPER(TRIM(JAWABAN!AL23))=AL$4,1,0))</f>
        <v>1</v>
      </c>
      <c r="AM23" s="16" t="n">
        <f aca="false">IF(OR($B23="",AM$4=""),"",IF(UPPER(TRIM(JAWABAN!AM23))=AM$4,1,0))</f>
        <v>1</v>
      </c>
      <c r="AN23" s="16" t="n">
        <f aca="false">IF(OR($B23="",AN$4=""),"",IF(UPPER(TRIM(JAWABAN!AN23))=AN$4,1,0))</f>
        <v>1</v>
      </c>
      <c r="AO23" s="16" t="n">
        <f aca="false">IF(OR($B23="",AO$4=""),"",IF(UPPER(TRIM(JAWABAN!AO23))=AO$4,1,0))</f>
        <v>1</v>
      </c>
      <c r="AP23" s="16" t="n">
        <f aca="false">IF(OR($B23="",AP$4=""),"",IF(UPPER(TRIM(JAWABAN!AP23))=AP$4,1,0))</f>
        <v>1</v>
      </c>
      <c r="AQ23" s="16" t="n">
        <f aca="false">IF(OR($B23="",AQ$4=""),"",IF(UPPER(TRIM(JAWABAN!AQ23))=AQ$4,1,0))</f>
        <v>0</v>
      </c>
      <c r="AR23" s="16" t="n">
        <f aca="false">IF(OR($B23="",AR$4=""),"",IF(UPPER(TRIM(JAWABAN!AR23))=AR$4,1,0))</f>
        <v>1</v>
      </c>
      <c r="AS23" s="30" t="n">
        <f aca="false">IF($B23="","",SUM(E23:AR23))</f>
        <v>31</v>
      </c>
      <c r="AT23" s="31" t="n">
        <f aca="false">IF(AS23="","",IFERROR(ROUND(AS23/K_SOAL*100,2),""))</f>
        <v>77.5</v>
      </c>
      <c r="AU23" s="16" t="str">
        <f aca="false">IF(AT23="","",IF(AT23&gt;=NILAI_KKM,"Tuntas","Belum tuntas"))</f>
        <v>Tuntas</v>
      </c>
      <c r="AV23" s="32" t="n">
        <f aca="false">IF(AS23="","",AS23+(1000-ROW())/100000)</f>
        <v>31.00977</v>
      </c>
      <c r="AW23" s="33" t="n">
        <f aca="false">IF(AV23="","",RANK(AV23,$AV$6:$AV$55))</f>
        <v>5</v>
      </c>
      <c r="AX23" s="30" t="n">
        <f aca="false">IF(AS23="","",RANK(AS23,$AS$6:$AS$55))</f>
        <v>4</v>
      </c>
      <c r="AY23" s="16" t="str">
        <f aca="false">IF(AW23="","",IF(AW23&lt;=N_GRUP,"Atas",IF(AW23&gt;N_SISWA-N_GRUP,"Bawah","Tengah")))</f>
        <v>Atas</v>
      </c>
    </row>
    <row r="24" customFormat="false" ht="15" hidden="false" customHeight="true" outlineLevel="0" collapsed="false">
      <c r="A24" s="16" t="n">
        <v>19</v>
      </c>
      <c r="B24" s="20" t="str">
        <f aca="false">IF(JAWABAN!B24="","",JAWABAN!B24)</f>
        <v>SISWA 19</v>
      </c>
      <c r="C24" s="20" t="str">
        <f aca="false">IF(JAWABAN!C24="","",JAWABAN!C24)</f>
        <v>IX G</v>
      </c>
      <c r="D24" s="29" t="str">
        <f aca="false">IF(JAWABAN!D24="","",JAWABAN!D24)</f>
        <v>0123013</v>
      </c>
      <c r="E24" s="16" t="n">
        <f aca="false">IF(OR($B24="",E$4=""),"",IF(UPPER(TRIM(JAWABAN!E24))=E$4,1,0))</f>
        <v>0</v>
      </c>
      <c r="F24" s="16" t="n">
        <f aca="false">IF(OR($B24="",F$4=""),"",IF(UPPER(TRIM(JAWABAN!F24))=F$4,1,0))</f>
        <v>0</v>
      </c>
      <c r="G24" s="16" t="n">
        <f aca="false">IF(OR($B24="",G$4=""),"",IF(UPPER(TRIM(JAWABAN!G24))=G$4,1,0))</f>
        <v>1</v>
      </c>
      <c r="H24" s="16" t="n">
        <f aca="false">IF(OR($B24="",H$4=""),"",IF(UPPER(TRIM(JAWABAN!H24))=H$4,1,0))</f>
        <v>0</v>
      </c>
      <c r="I24" s="16" t="n">
        <f aca="false">IF(OR($B24="",I$4=""),"",IF(UPPER(TRIM(JAWABAN!I24))=I$4,1,0))</f>
        <v>1</v>
      </c>
      <c r="J24" s="16" t="n">
        <f aca="false">IF(OR($B24="",J$4=""),"",IF(UPPER(TRIM(JAWABAN!J24))=J$4,1,0))</f>
        <v>1</v>
      </c>
      <c r="K24" s="16" t="n">
        <f aca="false">IF(OR($B24="",K$4=""),"",IF(UPPER(TRIM(JAWABAN!K24))=K$4,1,0))</f>
        <v>0</v>
      </c>
      <c r="L24" s="16" t="n">
        <f aca="false">IF(OR($B24="",L$4=""),"",IF(UPPER(TRIM(JAWABAN!L24))=L$4,1,0))</f>
        <v>1</v>
      </c>
      <c r="M24" s="16" t="n">
        <f aca="false">IF(OR($B24="",M$4=""),"",IF(UPPER(TRIM(JAWABAN!M24))=M$4,1,0))</f>
        <v>0</v>
      </c>
      <c r="N24" s="16" t="n">
        <f aca="false">IF(OR($B24="",N$4=""),"",IF(UPPER(TRIM(JAWABAN!N24))=N$4,1,0))</f>
        <v>0</v>
      </c>
      <c r="O24" s="16" t="n">
        <f aca="false">IF(OR($B24="",O$4=""),"",IF(UPPER(TRIM(JAWABAN!O24))=O$4,1,0))</f>
        <v>1</v>
      </c>
      <c r="P24" s="16" t="n">
        <f aca="false">IF(OR($B24="",P$4=""),"",IF(UPPER(TRIM(JAWABAN!P24))=P$4,1,0))</f>
        <v>1</v>
      </c>
      <c r="Q24" s="16" t="n">
        <f aca="false">IF(OR($B24="",Q$4=""),"",IF(UPPER(TRIM(JAWABAN!Q24))=Q$4,1,0))</f>
        <v>1</v>
      </c>
      <c r="R24" s="16" t="n">
        <f aca="false">IF(OR($B24="",R$4=""),"",IF(UPPER(TRIM(JAWABAN!R24))=R$4,1,0))</f>
        <v>1</v>
      </c>
      <c r="S24" s="16" t="n">
        <f aca="false">IF(OR($B24="",S$4=""),"",IF(UPPER(TRIM(JAWABAN!S24))=S$4,1,0))</f>
        <v>0</v>
      </c>
      <c r="T24" s="16" t="n">
        <f aca="false">IF(OR($B24="",T$4=""),"",IF(UPPER(TRIM(JAWABAN!T24))=T$4,1,0))</f>
        <v>1</v>
      </c>
      <c r="U24" s="16" t="n">
        <f aca="false">IF(OR($B24="",U$4=""),"",IF(UPPER(TRIM(JAWABAN!U24))=U$4,1,0))</f>
        <v>0</v>
      </c>
      <c r="V24" s="16" t="n">
        <f aca="false">IF(OR($B24="",V$4=""),"",IF(UPPER(TRIM(JAWABAN!V24))=V$4,1,0))</f>
        <v>0</v>
      </c>
      <c r="W24" s="16" t="n">
        <f aca="false">IF(OR($B24="",W$4=""),"",IF(UPPER(TRIM(JAWABAN!W24))=W$4,1,0))</f>
        <v>0</v>
      </c>
      <c r="X24" s="16" t="n">
        <f aca="false">IF(OR($B24="",X$4=""),"",IF(UPPER(TRIM(JAWABAN!X24))=X$4,1,0))</f>
        <v>0</v>
      </c>
      <c r="Y24" s="16" t="n">
        <f aca="false">IF(OR($B24="",Y$4=""),"",IF(UPPER(TRIM(JAWABAN!Y24))=Y$4,1,0))</f>
        <v>0</v>
      </c>
      <c r="Z24" s="16" t="n">
        <f aca="false">IF(OR($B24="",Z$4=""),"",IF(UPPER(TRIM(JAWABAN!Z24))=Z$4,1,0))</f>
        <v>0</v>
      </c>
      <c r="AA24" s="16" t="n">
        <f aca="false">IF(OR($B24="",AA$4=""),"",IF(UPPER(TRIM(JAWABAN!AA24))=AA$4,1,0))</f>
        <v>1</v>
      </c>
      <c r="AB24" s="16" t="n">
        <f aca="false">IF(OR($B24="",AB$4=""),"",IF(UPPER(TRIM(JAWABAN!AB24))=AB$4,1,0))</f>
        <v>1</v>
      </c>
      <c r="AC24" s="16" t="n">
        <f aca="false">IF(OR($B24="",AC$4=""),"",IF(UPPER(TRIM(JAWABAN!AC24))=AC$4,1,0))</f>
        <v>1</v>
      </c>
      <c r="AD24" s="16" t="n">
        <f aca="false">IF(OR($B24="",AD$4=""),"",IF(UPPER(TRIM(JAWABAN!AD24))=AD$4,1,0))</f>
        <v>1</v>
      </c>
      <c r="AE24" s="16" t="n">
        <f aca="false">IF(OR($B24="",AE$4=""),"",IF(UPPER(TRIM(JAWABAN!AE24))=AE$4,1,0))</f>
        <v>0</v>
      </c>
      <c r="AF24" s="16" t="n">
        <f aca="false">IF(OR($B24="",AF$4=""),"",IF(UPPER(TRIM(JAWABAN!AF24))=AF$4,1,0))</f>
        <v>0</v>
      </c>
      <c r="AG24" s="16" t="n">
        <f aca="false">IF(OR($B24="",AG$4=""),"",IF(UPPER(TRIM(JAWABAN!AG24))=AG$4,1,0))</f>
        <v>0</v>
      </c>
      <c r="AH24" s="16" t="n">
        <f aca="false">IF(OR($B24="",AH$4=""),"",IF(UPPER(TRIM(JAWABAN!AH24))=AH$4,1,0))</f>
        <v>1</v>
      </c>
      <c r="AI24" s="16" t="n">
        <f aca="false">IF(OR($B24="",AI$4=""),"",IF(UPPER(TRIM(JAWABAN!AI24))=AI$4,1,0))</f>
        <v>1</v>
      </c>
      <c r="AJ24" s="16" t="n">
        <f aca="false">IF(OR($B24="",AJ$4=""),"",IF(UPPER(TRIM(JAWABAN!AJ24))=AJ$4,1,0))</f>
        <v>0</v>
      </c>
      <c r="AK24" s="16" t="n">
        <f aca="false">IF(OR($B24="",AK$4=""),"",IF(UPPER(TRIM(JAWABAN!AK24))=AK$4,1,0))</f>
        <v>1</v>
      </c>
      <c r="AL24" s="16" t="n">
        <f aca="false">IF(OR($B24="",AL$4=""),"",IF(UPPER(TRIM(JAWABAN!AL24))=AL$4,1,0))</f>
        <v>1</v>
      </c>
      <c r="AM24" s="16" t="n">
        <f aca="false">IF(OR($B24="",AM$4=""),"",IF(UPPER(TRIM(JAWABAN!AM24))=AM$4,1,0))</f>
        <v>0</v>
      </c>
      <c r="AN24" s="16" t="n">
        <f aca="false">IF(OR($B24="",AN$4=""),"",IF(UPPER(TRIM(JAWABAN!AN24))=AN$4,1,0))</f>
        <v>1</v>
      </c>
      <c r="AO24" s="16" t="n">
        <f aca="false">IF(OR($B24="",AO$4=""),"",IF(UPPER(TRIM(JAWABAN!AO24))=AO$4,1,0))</f>
        <v>0</v>
      </c>
      <c r="AP24" s="16" t="n">
        <f aca="false">IF(OR($B24="",AP$4=""),"",IF(UPPER(TRIM(JAWABAN!AP24))=AP$4,1,0))</f>
        <v>1</v>
      </c>
      <c r="AQ24" s="16" t="n">
        <f aca="false">IF(OR($B24="",AQ$4=""),"",IF(UPPER(TRIM(JAWABAN!AQ24))=AQ$4,1,0))</f>
        <v>1</v>
      </c>
      <c r="AR24" s="16" t="n">
        <f aca="false">IF(OR($B24="",AR$4=""),"",IF(UPPER(TRIM(JAWABAN!AR24))=AR$4,1,0))</f>
        <v>1</v>
      </c>
      <c r="AS24" s="30" t="n">
        <f aca="false">IF($B24="","",SUM(E24:AR24))</f>
        <v>21</v>
      </c>
      <c r="AT24" s="31" t="n">
        <f aca="false">IF(AS24="","",IFERROR(ROUND(AS24/K_SOAL*100,2),""))</f>
        <v>52.5</v>
      </c>
      <c r="AU24" s="16" t="str">
        <f aca="false">IF(AT24="","",IF(AT24&gt;=NILAI_KKM,"Tuntas","Belum tuntas"))</f>
        <v>Belum tuntas</v>
      </c>
      <c r="AV24" s="32" t="n">
        <f aca="false">IF(AS24="","",AS24+(1000-ROW())/100000)</f>
        <v>21.00976</v>
      </c>
      <c r="AW24" s="33" t="n">
        <f aca="false">IF(AV24="","",RANK(AV24,$AV$6:$AV$55))</f>
        <v>20</v>
      </c>
      <c r="AX24" s="30" t="n">
        <f aca="false">IF(AS24="","",RANK(AS24,$AS$6:$AS$55))</f>
        <v>20</v>
      </c>
      <c r="AY24" s="16" t="str">
        <f aca="false">IF(AW24="","",IF(AW24&lt;=N_GRUP,"Atas",IF(AW24&gt;N_SISWA-N_GRUP,"Bawah","Tengah")))</f>
        <v>Tengah</v>
      </c>
    </row>
    <row r="25" customFormat="false" ht="15" hidden="false" customHeight="true" outlineLevel="0" collapsed="false">
      <c r="A25" s="16" t="n">
        <v>20</v>
      </c>
      <c r="B25" s="20" t="str">
        <f aca="false">IF(JAWABAN!B25="","",JAWABAN!B25)</f>
        <v>SISWA 20</v>
      </c>
      <c r="C25" s="20" t="str">
        <f aca="false">IF(JAWABAN!C25="","",JAWABAN!C25)</f>
        <v>IX G</v>
      </c>
      <c r="D25" s="29" t="str">
        <f aca="false">IF(JAWABAN!D25="","",JAWABAN!D25)</f>
        <v>0123012</v>
      </c>
      <c r="E25" s="16" t="n">
        <f aca="false">IF(OR($B25="",E$4=""),"",IF(UPPER(TRIM(JAWABAN!E25))=E$4,1,0))</f>
        <v>1</v>
      </c>
      <c r="F25" s="16" t="n">
        <f aca="false">IF(OR($B25="",F$4=""),"",IF(UPPER(TRIM(JAWABAN!F25))=F$4,1,0))</f>
        <v>1</v>
      </c>
      <c r="G25" s="16" t="n">
        <f aca="false">IF(OR($B25="",G$4=""),"",IF(UPPER(TRIM(JAWABAN!G25))=G$4,1,0))</f>
        <v>1</v>
      </c>
      <c r="H25" s="16" t="n">
        <f aca="false">IF(OR($B25="",H$4=""),"",IF(UPPER(TRIM(JAWABAN!H25))=H$4,1,0))</f>
        <v>1</v>
      </c>
      <c r="I25" s="16" t="n">
        <f aca="false">IF(OR($B25="",I$4=""),"",IF(UPPER(TRIM(JAWABAN!I25))=I$4,1,0))</f>
        <v>1</v>
      </c>
      <c r="J25" s="16" t="n">
        <f aca="false">IF(OR($B25="",J$4=""),"",IF(UPPER(TRIM(JAWABAN!J25))=J$4,1,0))</f>
        <v>0</v>
      </c>
      <c r="K25" s="16" t="n">
        <f aca="false">IF(OR($B25="",K$4=""),"",IF(UPPER(TRIM(JAWABAN!K25))=K$4,1,0))</f>
        <v>1</v>
      </c>
      <c r="L25" s="16" t="n">
        <f aca="false">IF(OR($B25="",L$4=""),"",IF(UPPER(TRIM(JAWABAN!L25))=L$4,1,0))</f>
        <v>1</v>
      </c>
      <c r="M25" s="16" t="n">
        <f aca="false">IF(OR($B25="",M$4=""),"",IF(UPPER(TRIM(JAWABAN!M25))=M$4,1,0))</f>
        <v>0</v>
      </c>
      <c r="N25" s="16" t="n">
        <f aca="false">IF(OR($B25="",N$4=""),"",IF(UPPER(TRIM(JAWABAN!N25))=N$4,1,0))</f>
        <v>0</v>
      </c>
      <c r="O25" s="16" t="n">
        <f aca="false">IF(OR($B25="",O$4=""),"",IF(UPPER(TRIM(JAWABAN!O25))=O$4,1,0))</f>
        <v>1</v>
      </c>
      <c r="P25" s="16" t="n">
        <f aca="false">IF(OR($B25="",P$4=""),"",IF(UPPER(TRIM(JAWABAN!P25))=P$4,1,0))</f>
        <v>1</v>
      </c>
      <c r="Q25" s="16" t="n">
        <f aca="false">IF(OR($B25="",Q$4=""),"",IF(UPPER(TRIM(JAWABAN!Q25))=Q$4,1,0))</f>
        <v>1</v>
      </c>
      <c r="R25" s="16" t="n">
        <f aca="false">IF(OR($B25="",R$4=""),"",IF(UPPER(TRIM(JAWABAN!R25))=R$4,1,0))</f>
        <v>0</v>
      </c>
      <c r="S25" s="16" t="n">
        <f aca="false">IF(OR($B25="",S$4=""),"",IF(UPPER(TRIM(JAWABAN!S25))=S$4,1,0))</f>
        <v>1</v>
      </c>
      <c r="T25" s="16" t="n">
        <f aca="false">IF(OR($B25="",T$4=""),"",IF(UPPER(TRIM(JAWABAN!T25))=T$4,1,0))</f>
        <v>1</v>
      </c>
      <c r="U25" s="16" t="n">
        <f aca="false">IF(OR($B25="",U$4=""),"",IF(UPPER(TRIM(JAWABAN!U25))=U$4,1,0))</f>
        <v>1</v>
      </c>
      <c r="V25" s="16" t="n">
        <f aca="false">IF(OR($B25="",V$4=""),"",IF(UPPER(TRIM(JAWABAN!V25))=V$4,1,0))</f>
        <v>1</v>
      </c>
      <c r="W25" s="16" t="n">
        <f aca="false">IF(OR($B25="",W$4=""),"",IF(UPPER(TRIM(JAWABAN!W25))=W$4,1,0))</f>
        <v>0</v>
      </c>
      <c r="X25" s="16" t="n">
        <f aca="false">IF(OR($B25="",X$4=""),"",IF(UPPER(TRIM(JAWABAN!X25))=X$4,1,0))</f>
        <v>1</v>
      </c>
      <c r="Y25" s="16" t="n">
        <f aca="false">IF(OR($B25="",Y$4=""),"",IF(UPPER(TRIM(JAWABAN!Y25))=Y$4,1,0))</f>
        <v>1</v>
      </c>
      <c r="Z25" s="16" t="n">
        <f aca="false">IF(OR($B25="",Z$4=""),"",IF(UPPER(TRIM(JAWABAN!Z25))=Z$4,1,0))</f>
        <v>0</v>
      </c>
      <c r="AA25" s="16" t="n">
        <f aca="false">IF(OR($B25="",AA$4=""),"",IF(UPPER(TRIM(JAWABAN!AA25))=AA$4,1,0))</f>
        <v>1</v>
      </c>
      <c r="AB25" s="16" t="n">
        <f aca="false">IF(OR($B25="",AB$4=""),"",IF(UPPER(TRIM(JAWABAN!AB25))=AB$4,1,0))</f>
        <v>0</v>
      </c>
      <c r="AC25" s="16" t="n">
        <f aca="false">IF(OR($B25="",AC$4=""),"",IF(UPPER(TRIM(JAWABAN!AC25))=AC$4,1,0))</f>
        <v>1</v>
      </c>
      <c r="AD25" s="16" t="n">
        <f aca="false">IF(OR($B25="",AD$4=""),"",IF(UPPER(TRIM(JAWABAN!AD25))=AD$4,1,0))</f>
        <v>1</v>
      </c>
      <c r="AE25" s="16" t="n">
        <f aca="false">IF(OR($B25="",AE$4=""),"",IF(UPPER(TRIM(JAWABAN!AE25))=AE$4,1,0))</f>
        <v>1</v>
      </c>
      <c r="AF25" s="16" t="n">
        <f aca="false">IF(OR($B25="",AF$4=""),"",IF(UPPER(TRIM(JAWABAN!AF25))=AF$4,1,0))</f>
        <v>1</v>
      </c>
      <c r="AG25" s="16" t="n">
        <f aca="false">IF(OR($B25="",AG$4=""),"",IF(UPPER(TRIM(JAWABAN!AG25))=AG$4,1,0))</f>
        <v>1</v>
      </c>
      <c r="AH25" s="16" t="n">
        <f aca="false">IF(OR($B25="",AH$4=""),"",IF(UPPER(TRIM(JAWABAN!AH25))=AH$4,1,0))</f>
        <v>1</v>
      </c>
      <c r="AI25" s="16" t="n">
        <f aca="false">IF(OR($B25="",AI$4=""),"",IF(UPPER(TRIM(JAWABAN!AI25))=AI$4,1,0))</f>
        <v>1</v>
      </c>
      <c r="AJ25" s="16" t="n">
        <f aca="false">IF(OR($B25="",AJ$4=""),"",IF(UPPER(TRIM(JAWABAN!AJ25))=AJ$4,1,0))</f>
        <v>1</v>
      </c>
      <c r="AK25" s="16" t="n">
        <f aca="false">IF(OR($B25="",AK$4=""),"",IF(UPPER(TRIM(JAWABAN!AK25))=AK$4,1,0))</f>
        <v>0</v>
      </c>
      <c r="AL25" s="16" t="n">
        <f aca="false">IF(OR($B25="",AL$4=""),"",IF(UPPER(TRIM(JAWABAN!AL25))=AL$4,1,0))</f>
        <v>0</v>
      </c>
      <c r="AM25" s="16" t="n">
        <f aca="false">IF(OR($B25="",AM$4=""),"",IF(UPPER(TRIM(JAWABAN!AM25))=AM$4,1,0))</f>
        <v>1</v>
      </c>
      <c r="AN25" s="16" t="n">
        <f aca="false">IF(OR($B25="",AN$4=""),"",IF(UPPER(TRIM(JAWABAN!AN25))=AN$4,1,0))</f>
        <v>1</v>
      </c>
      <c r="AO25" s="16" t="n">
        <f aca="false">IF(OR($B25="",AO$4=""),"",IF(UPPER(TRIM(JAWABAN!AO25))=AO$4,1,0))</f>
        <v>1</v>
      </c>
      <c r="AP25" s="16" t="n">
        <f aca="false">IF(OR($B25="",AP$4=""),"",IF(UPPER(TRIM(JAWABAN!AP25))=AP$4,1,0))</f>
        <v>1</v>
      </c>
      <c r="AQ25" s="16" t="n">
        <f aca="false">IF(OR($B25="",AQ$4=""),"",IF(UPPER(TRIM(JAWABAN!AQ25))=AQ$4,1,0))</f>
        <v>1</v>
      </c>
      <c r="AR25" s="16" t="n">
        <f aca="false">IF(OR($B25="",AR$4=""),"",IF(UPPER(TRIM(JAWABAN!AR25))=AR$4,1,0))</f>
        <v>1</v>
      </c>
      <c r="AS25" s="30" t="n">
        <f aca="false">IF($B25="","",SUM(E25:AR25))</f>
        <v>31</v>
      </c>
      <c r="AT25" s="31" t="n">
        <f aca="false">IF(AS25="","",IFERROR(ROUND(AS25/K_SOAL*100,2),""))</f>
        <v>77.5</v>
      </c>
      <c r="AU25" s="16" t="str">
        <f aca="false">IF(AT25="","",IF(AT25&gt;=NILAI_KKM,"Tuntas","Belum tuntas"))</f>
        <v>Tuntas</v>
      </c>
      <c r="AV25" s="32" t="n">
        <f aca="false">IF(AS25="","",AS25+(1000-ROW())/100000)</f>
        <v>31.00975</v>
      </c>
      <c r="AW25" s="33" t="n">
        <f aca="false">IF(AV25="","",RANK(AV25,$AV$6:$AV$55))</f>
        <v>6</v>
      </c>
      <c r="AX25" s="30" t="n">
        <f aca="false">IF(AS25="","",RANK(AS25,$AS$6:$AS$55))</f>
        <v>4</v>
      </c>
      <c r="AY25" s="16" t="str">
        <f aca="false">IF(AW25="","",IF(AW25&lt;=N_GRUP,"Atas",IF(AW25&gt;N_SISWA-N_GRUP,"Bawah","Tengah")))</f>
        <v>Atas</v>
      </c>
    </row>
    <row r="26" customFormat="false" ht="15" hidden="false" customHeight="true" outlineLevel="0" collapsed="false">
      <c r="A26" s="16" t="n">
        <v>21</v>
      </c>
      <c r="B26" s="20" t="str">
        <f aca="false">IF(JAWABAN!B26="","",JAWABAN!B26)</f>
        <v>SISWA 21</v>
      </c>
      <c r="C26" s="20" t="str">
        <f aca="false">IF(JAWABAN!C26="","",JAWABAN!C26)</f>
        <v>IX G</v>
      </c>
      <c r="D26" s="29" t="str">
        <f aca="false">IF(JAWABAN!D26="","",JAWABAN!D26)</f>
        <v>0123011</v>
      </c>
      <c r="E26" s="16" t="n">
        <f aca="false">IF(OR($B26="",E$4=""),"",IF(UPPER(TRIM(JAWABAN!E26))=E$4,1,0))</f>
        <v>0</v>
      </c>
      <c r="F26" s="16" t="n">
        <f aca="false">IF(OR($B26="",F$4=""),"",IF(UPPER(TRIM(JAWABAN!F26))=F$4,1,0))</f>
        <v>1</v>
      </c>
      <c r="G26" s="16" t="n">
        <f aca="false">IF(OR($B26="",G$4=""),"",IF(UPPER(TRIM(JAWABAN!G26))=G$4,1,0))</f>
        <v>1</v>
      </c>
      <c r="H26" s="16" t="n">
        <f aca="false">IF(OR($B26="",H$4=""),"",IF(UPPER(TRIM(JAWABAN!H26))=H$4,1,0))</f>
        <v>1</v>
      </c>
      <c r="I26" s="16" t="n">
        <f aca="false">IF(OR($B26="",I$4=""),"",IF(UPPER(TRIM(JAWABAN!I26))=I$4,1,0))</f>
        <v>1</v>
      </c>
      <c r="J26" s="16" t="n">
        <f aca="false">IF(OR($B26="",J$4=""),"",IF(UPPER(TRIM(JAWABAN!J26))=J$4,1,0))</f>
        <v>1</v>
      </c>
      <c r="K26" s="16" t="n">
        <f aca="false">IF(OR($B26="",K$4=""),"",IF(UPPER(TRIM(JAWABAN!K26))=K$4,1,0))</f>
        <v>1</v>
      </c>
      <c r="L26" s="16" t="n">
        <f aca="false">IF(OR($B26="",L$4=""),"",IF(UPPER(TRIM(JAWABAN!L26))=L$4,1,0))</f>
        <v>0</v>
      </c>
      <c r="M26" s="16" t="n">
        <f aca="false">IF(OR($B26="",M$4=""),"",IF(UPPER(TRIM(JAWABAN!M26))=M$4,1,0))</f>
        <v>0</v>
      </c>
      <c r="N26" s="16" t="n">
        <f aca="false">IF(OR($B26="",N$4=""),"",IF(UPPER(TRIM(JAWABAN!N26))=N$4,1,0))</f>
        <v>1</v>
      </c>
      <c r="O26" s="16" t="n">
        <f aca="false">IF(OR($B26="",O$4=""),"",IF(UPPER(TRIM(JAWABAN!O26))=O$4,1,0))</f>
        <v>1</v>
      </c>
      <c r="P26" s="16" t="n">
        <f aca="false">IF(OR($B26="",P$4=""),"",IF(UPPER(TRIM(JAWABAN!P26))=P$4,1,0))</f>
        <v>1</v>
      </c>
      <c r="Q26" s="16" t="n">
        <f aca="false">IF(OR($B26="",Q$4=""),"",IF(UPPER(TRIM(JAWABAN!Q26))=Q$4,1,0))</f>
        <v>1</v>
      </c>
      <c r="R26" s="16" t="n">
        <f aca="false">IF(OR($B26="",R$4=""),"",IF(UPPER(TRIM(JAWABAN!R26))=R$4,1,0))</f>
        <v>1</v>
      </c>
      <c r="S26" s="16" t="n">
        <f aca="false">IF(OR($B26="",S$4=""),"",IF(UPPER(TRIM(JAWABAN!S26))=S$4,1,0))</f>
        <v>0</v>
      </c>
      <c r="T26" s="16" t="n">
        <f aca="false">IF(OR($B26="",T$4=""),"",IF(UPPER(TRIM(JAWABAN!T26))=T$4,1,0))</f>
        <v>1</v>
      </c>
      <c r="U26" s="16" t="n">
        <f aca="false">IF(OR($B26="",U$4=""),"",IF(UPPER(TRIM(JAWABAN!U26))=U$4,1,0))</f>
        <v>1</v>
      </c>
      <c r="V26" s="16" t="n">
        <f aca="false">IF(OR($B26="",V$4=""),"",IF(UPPER(TRIM(JAWABAN!V26))=V$4,1,0))</f>
        <v>1</v>
      </c>
      <c r="W26" s="16" t="n">
        <f aca="false">IF(OR($B26="",W$4=""),"",IF(UPPER(TRIM(JAWABAN!W26))=W$4,1,0))</f>
        <v>1</v>
      </c>
      <c r="X26" s="16" t="n">
        <f aca="false">IF(OR($B26="",X$4=""),"",IF(UPPER(TRIM(JAWABAN!X26))=X$4,1,0))</f>
        <v>1</v>
      </c>
      <c r="Y26" s="16" t="n">
        <f aca="false">IF(OR($B26="",Y$4=""),"",IF(UPPER(TRIM(JAWABAN!Y26))=Y$4,1,0))</f>
        <v>1</v>
      </c>
      <c r="Z26" s="16" t="n">
        <f aca="false">IF(OR($B26="",Z$4=""),"",IF(UPPER(TRIM(JAWABAN!Z26))=Z$4,1,0))</f>
        <v>1</v>
      </c>
      <c r="AA26" s="16" t="n">
        <f aca="false">IF(OR($B26="",AA$4=""),"",IF(UPPER(TRIM(JAWABAN!AA26))=AA$4,1,0))</f>
        <v>0</v>
      </c>
      <c r="AB26" s="16" t="n">
        <f aca="false">IF(OR($B26="",AB$4=""),"",IF(UPPER(TRIM(JAWABAN!AB26))=AB$4,1,0))</f>
        <v>1</v>
      </c>
      <c r="AC26" s="16" t="n">
        <f aca="false">IF(OR($B26="",AC$4=""),"",IF(UPPER(TRIM(JAWABAN!AC26))=AC$4,1,0))</f>
        <v>0</v>
      </c>
      <c r="AD26" s="16" t="n">
        <f aca="false">IF(OR($B26="",AD$4=""),"",IF(UPPER(TRIM(JAWABAN!AD26))=AD$4,1,0))</f>
        <v>0</v>
      </c>
      <c r="AE26" s="16" t="n">
        <f aca="false">IF(OR($B26="",AE$4=""),"",IF(UPPER(TRIM(JAWABAN!AE26))=AE$4,1,0))</f>
        <v>1</v>
      </c>
      <c r="AF26" s="16" t="n">
        <f aca="false">IF(OR($B26="",AF$4=""),"",IF(UPPER(TRIM(JAWABAN!AF26))=AF$4,1,0))</f>
        <v>1</v>
      </c>
      <c r="AG26" s="16" t="n">
        <f aca="false">IF(OR($B26="",AG$4=""),"",IF(UPPER(TRIM(JAWABAN!AG26))=AG$4,1,0))</f>
        <v>1</v>
      </c>
      <c r="AH26" s="16" t="n">
        <f aca="false">IF(OR($B26="",AH$4=""),"",IF(UPPER(TRIM(JAWABAN!AH26))=AH$4,1,0))</f>
        <v>0</v>
      </c>
      <c r="AI26" s="16" t="n">
        <f aca="false">IF(OR($B26="",AI$4=""),"",IF(UPPER(TRIM(JAWABAN!AI26))=AI$4,1,0))</f>
        <v>1</v>
      </c>
      <c r="AJ26" s="16" t="n">
        <f aca="false">IF(OR($B26="",AJ$4=""),"",IF(UPPER(TRIM(JAWABAN!AJ26))=AJ$4,1,0))</f>
        <v>0</v>
      </c>
      <c r="AK26" s="16" t="n">
        <f aca="false">IF(OR($B26="",AK$4=""),"",IF(UPPER(TRIM(JAWABAN!AK26))=AK$4,1,0))</f>
        <v>1</v>
      </c>
      <c r="AL26" s="16" t="n">
        <f aca="false">IF(OR($B26="",AL$4=""),"",IF(UPPER(TRIM(JAWABAN!AL26))=AL$4,1,0))</f>
        <v>1</v>
      </c>
      <c r="AM26" s="16" t="n">
        <f aca="false">IF(OR($B26="",AM$4=""),"",IF(UPPER(TRIM(JAWABAN!AM26))=AM$4,1,0))</f>
        <v>1</v>
      </c>
      <c r="AN26" s="16" t="n">
        <f aca="false">IF(OR($B26="",AN$4=""),"",IF(UPPER(TRIM(JAWABAN!AN26))=AN$4,1,0))</f>
        <v>1</v>
      </c>
      <c r="AO26" s="16" t="n">
        <f aca="false">IF(OR($B26="",AO$4=""),"",IF(UPPER(TRIM(JAWABAN!AO26))=AO$4,1,0))</f>
        <v>0</v>
      </c>
      <c r="AP26" s="16" t="n">
        <f aca="false">IF(OR($B26="",AP$4=""),"",IF(UPPER(TRIM(JAWABAN!AP26))=AP$4,1,0))</f>
        <v>1</v>
      </c>
      <c r="AQ26" s="16" t="n">
        <f aca="false">IF(OR($B26="",AQ$4=""),"",IF(UPPER(TRIM(JAWABAN!AQ26))=AQ$4,1,0))</f>
        <v>0</v>
      </c>
      <c r="AR26" s="16" t="n">
        <f aca="false">IF(OR($B26="",AR$4=""),"",IF(UPPER(TRIM(JAWABAN!AR26))=AR$4,1,0))</f>
        <v>0</v>
      </c>
      <c r="AS26" s="30" t="n">
        <f aca="false">IF($B26="","",SUM(E26:AR26))</f>
        <v>28</v>
      </c>
      <c r="AT26" s="31" t="n">
        <f aca="false">IF(AS26="","",IFERROR(ROUND(AS26/K_SOAL*100,2),""))</f>
        <v>70</v>
      </c>
      <c r="AU26" s="16" t="str">
        <f aca="false">IF(AT26="","",IF(AT26&gt;=NILAI_KKM,"Tuntas","Belum tuntas"))</f>
        <v>Belum tuntas</v>
      </c>
      <c r="AV26" s="32" t="n">
        <f aca="false">IF(AS26="","",AS26+(1000-ROW())/100000)</f>
        <v>28.00974</v>
      </c>
      <c r="AW26" s="33" t="n">
        <f aca="false">IF(AV26="","",RANK(AV26,$AV$6:$AV$55))</f>
        <v>11</v>
      </c>
      <c r="AX26" s="30" t="n">
        <f aca="false">IF(AS26="","",RANK(AS26,$AS$6:$AS$55))</f>
        <v>11</v>
      </c>
      <c r="AY26" s="16" t="str">
        <f aca="false">IF(AW26="","",IF(AW26&lt;=N_GRUP,"Atas",IF(AW26&gt;N_SISWA-N_GRUP,"Bawah","Tengah")))</f>
        <v>Tengah</v>
      </c>
    </row>
    <row r="27" customFormat="false" ht="15" hidden="false" customHeight="true" outlineLevel="0" collapsed="false">
      <c r="A27" s="16" t="n">
        <v>22</v>
      </c>
      <c r="B27" s="20" t="str">
        <f aca="false">IF(JAWABAN!B27="","",JAWABAN!B27)</f>
        <v>SISWA 22</v>
      </c>
      <c r="C27" s="20" t="str">
        <f aca="false">IF(JAWABAN!C27="","",JAWABAN!C27)</f>
        <v>IX G</v>
      </c>
      <c r="D27" s="29" t="str">
        <f aca="false">IF(JAWABAN!D27="","",JAWABAN!D27)</f>
        <v>0123010</v>
      </c>
      <c r="E27" s="16" t="n">
        <f aca="false">IF(OR($B27="",E$4=""),"",IF(UPPER(TRIM(JAWABAN!E27))=E$4,1,0))</f>
        <v>1</v>
      </c>
      <c r="F27" s="16" t="n">
        <f aca="false">IF(OR($B27="",F$4=""),"",IF(UPPER(TRIM(JAWABAN!F27))=F$4,1,0))</f>
        <v>1</v>
      </c>
      <c r="G27" s="16" t="n">
        <f aca="false">IF(OR($B27="",G$4=""),"",IF(UPPER(TRIM(JAWABAN!G27))=G$4,1,0))</f>
        <v>0</v>
      </c>
      <c r="H27" s="16" t="n">
        <f aca="false">IF(OR($B27="",H$4=""),"",IF(UPPER(TRIM(JAWABAN!H27))=H$4,1,0))</f>
        <v>1</v>
      </c>
      <c r="I27" s="16" t="n">
        <f aca="false">IF(OR($B27="",I$4=""),"",IF(UPPER(TRIM(JAWABAN!I27))=I$4,1,0))</f>
        <v>0</v>
      </c>
      <c r="J27" s="16" t="n">
        <f aca="false">IF(OR($B27="",J$4=""),"",IF(UPPER(TRIM(JAWABAN!J27))=J$4,1,0))</f>
        <v>1</v>
      </c>
      <c r="K27" s="16" t="n">
        <f aca="false">IF(OR($B27="",K$4=""),"",IF(UPPER(TRIM(JAWABAN!K27))=K$4,1,0))</f>
        <v>1</v>
      </c>
      <c r="L27" s="16" t="n">
        <f aca="false">IF(OR($B27="",L$4=""),"",IF(UPPER(TRIM(JAWABAN!L27))=L$4,1,0))</f>
        <v>1</v>
      </c>
      <c r="M27" s="16" t="n">
        <f aca="false">IF(OR($B27="",M$4=""),"",IF(UPPER(TRIM(JAWABAN!M27))=M$4,1,0))</f>
        <v>0</v>
      </c>
      <c r="N27" s="16" t="n">
        <f aca="false">IF(OR($B27="",N$4=""),"",IF(UPPER(TRIM(JAWABAN!N27))=N$4,1,0))</f>
        <v>0</v>
      </c>
      <c r="O27" s="16" t="n">
        <f aca="false">IF(OR($B27="",O$4=""),"",IF(UPPER(TRIM(JAWABAN!O27))=O$4,1,0))</f>
        <v>1</v>
      </c>
      <c r="P27" s="16" t="n">
        <f aca="false">IF(OR($B27="",P$4=""),"",IF(UPPER(TRIM(JAWABAN!P27))=P$4,1,0))</f>
        <v>1</v>
      </c>
      <c r="Q27" s="16" t="n">
        <f aca="false">IF(OR($B27="",Q$4=""),"",IF(UPPER(TRIM(JAWABAN!Q27))=Q$4,1,0))</f>
        <v>0</v>
      </c>
      <c r="R27" s="16" t="n">
        <f aca="false">IF(OR($B27="",R$4=""),"",IF(UPPER(TRIM(JAWABAN!R27))=R$4,1,0))</f>
        <v>1</v>
      </c>
      <c r="S27" s="16" t="n">
        <f aca="false">IF(OR($B27="",S$4=""),"",IF(UPPER(TRIM(JAWABAN!S27))=S$4,1,0))</f>
        <v>0</v>
      </c>
      <c r="T27" s="16" t="n">
        <f aca="false">IF(OR($B27="",T$4=""),"",IF(UPPER(TRIM(JAWABAN!T27))=T$4,1,0))</f>
        <v>1</v>
      </c>
      <c r="U27" s="16" t="n">
        <f aca="false">IF(OR($B27="",U$4=""),"",IF(UPPER(TRIM(JAWABAN!U27))=U$4,1,0))</f>
        <v>0</v>
      </c>
      <c r="V27" s="16" t="n">
        <f aca="false">IF(OR($B27="",V$4=""),"",IF(UPPER(TRIM(JAWABAN!V27))=V$4,1,0))</f>
        <v>1</v>
      </c>
      <c r="W27" s="16" t="n">
        <f aca="false">IF(OR($B27="",W$4=""),"",IF(UPPER(TRIM(JAWABAN!W27))=W$4,1,0))</f>
        <v>0</v>
      </c>
      <c r="X27" s="16" t="n">
        <f aca="false">IF(OR($B27="",X$4=""),"",IF(UPPER(TRIM(JAWABAN!X27))=X$4,1,0))</f>
        <v>1</v>
      </c>
      <c r="Y27" s="16" t="n">
        <f aca="false">IF(OR($B27="",Y$4=""),"",IF(UPPER(TRIM(JAWABAN!Y27))=Y$4,1,0))</f>
        <v>0</v>
      </c>
      <c r="Z27" s="16" t="n">
        <f aca="false">IF(OR($B27="",Z$4=""),"",IF(UPPER(TRIM(JAWABAN!Z27))=Z$4,1,0))</f>
        <v>1</v>
      </c>
      <c r="AA27" s="16" t="n">
        <f aca="false">IF(OR($B27="",AA$4=""),"",IF(UPPER(TRIM(JAWABAN!AA27))=AA$4,1,0))</f>
        <v>0</v>
      </c>
      <c r="AB27" s="16" t="n">
        <f aca="false">IF(OR($B27="",AB$4=""),"",IF(UPPER(TRIM(JAWABAN!AB27))=AB$4,1,0))</f>
        <v>0</v>
      </c>
      <c r="AC27" s="16" t="n">
        <f aca="false">IF(OR($B27="",AC$4=""),"",IF(UPPER(TRIM(JAWABAN!AC27))=AC$4,1,0))</f>
        <v>1</v>
      </c>
      <c r="AD27" s="16" t="n">
        <f aca="false">IF(OR($B27="",AD$4=""),"",IF(UPPER(TRIM(JAWABAN!AD27))=AD$4,1,0))</f>
        <v>1</v>
      </c>
      <c r="AE27" s="16" t="n">
        <f aca="false">IF(OR($B27="",AE$4=""),"",IF(UPPER(TRIM(JAWABAN!AE27))=AE$4,1,0))</f>
        <v>1</v>
      </c>
      <c r="AF27" s="16" t="n">
        <f aca="false">IF(OR($B27="",AF$4=""),"",IF(UPPER(TRIM(JAWABAN!AF27))=AF$4,1,0))</f>
        <v>1</v>
      </c>
      <c r="AG27" s="16" t="n">
        <f aca="false">IF(OR($B27="",AG$4=""),"",IF(UPPER(TRIM(JAWABAN!AG27))=AG$4,1,0))</f>
        <v>1</v>
      </c>
      <c r="AH27" s="16" t="n">
        <f aca="false">IF(OR($B27="",AH$4=""),"",IF(UPPER(TRIM(JAWABAN!AH27))=AH$4,1,0))</f>
        <v>1</v>
      </c>
      <c r="AI27" s="16" t="n">
        <f aca="false">IF(OR($B27="",AI$4=""),"",IF(UPPER(TRIM(JAWABAN!AI27))=AI$4,1,0))</f>
        <v>0</v>
      </c>
      <c r="AJ27" s="16" t="n">
        <f aca="false">IF(OR($B27="",AJ$4=""),"",IF(UPPER(TRIM(JAWABAN!AJ27))=AJ$4,1,0))</f>
        <v>0</v>
      </c>
      <c r="AK27" s="16" t="n">
        <f aca="false">IF(OR($B27="",AK$4=""),"",IF(UPPER(TRIM(JAWABAN!AK27))=AK$4,1,0))</f>
        <v>1</v>
      </c>
      <c r="AL27" s="16" t="n">
        <f aca="false">IF(OR($B27="",AL$4=""),"",IF(UPPER(TRIM(JAWABAN!AL27))=AL$4,1,0))</f>
        <v>1</v>
      </c>
      <c r="AM27" s="16" t="n">
        <f aca="false">IF(OR($B27="",AM$4=""),"",IF(UPPER(TRIM(JAWABAN!AM27))=AM$4,1,0))</f>
        <v>1</v>
      </c>
      <c r="AN27" s="16" t="n">
        <f aca="false">IF(OR($B27="",AN$4=""),"",IF(UPPER(TRIM(JAWABAN!AN27))=AN$4,1,0))</f>
        <v>0</v>
      </c>
      <c r="AO27" s="16" t="n">
        <f aca="false">IF(OR($B27="",AO$4=""),"",IF(UPPER(TRIM(JAWABAN!AO27))=AO$4,1,0))</f>
        <v>0</v>
      </c>
      <c r="AP27" s="16" t="n">
        <f aca="false">IF(OR($B27="",AP$4=""),"",IF(UPPER(TRIM(JAWABAN!AP27))=AP$4,1,0))</f>
        <v>1</v>
      </c>
      <c r="AQ27" s="16" t="n">
        <f aca="false">IF(OR($B27="",AQ$4=""),"",IF(UPPER(TRIM(JAWABAN!AQ27))=AQ$4,1,0))</f>
        <v>0</v>
      </c>
      <c r="AR27" s="16" t="n">
        <f aca="false">IF(OR($B27="",AR$4=""),"",IF(UPPER(TRIM(JAWABAN!AR27))=AR$4,1,0))</f>
        <v>1</v>
      </c>
      <c r="AS27" s="30" t="n">
        <f aca="false">IF($B27="","",SUM(E27:AR27))</f>
        <v>24</v>
      </c>
      <c r="AT27" s="31" t="n">
        <f aca="false">IF(AS27="","",IFERROR(ROUND(AS27/K_SOAL*100,2),""))</f>
        <v>60</v>
      </c>
      <c r="AU27" s="16" t="str">
        <f aca="false">IF(AT27="","",IF(AT27&gt;=NILAI_KKM,"Tuntas","Belum tuntas"))</f>
        <v>Belum tuntas</v>
      </c>
      <c r="AV27" s="32" t="n">
        <f aca="false">IF(AS27="","",AS27+(1000-ROW())/100000)</f>
        <v>24.00973</v>
      </c>
      <c r="AW27" s="33" t="n">
        <f aca="false">IF(AV27="","",RANK(AV27,$AV$6:$AV$55))</f>
        <v>14</v>
      </c>
      <c r="AX27" s="30" t="n">
        <f aca="false">IF(AS27="","",RANK(AS27,$AS$6:$AS$55))</f>
        <v>14</v>
      </c>
      <c r="AY27" s="16" t="str">
        <f aca="false">IF(AW27="","",IF(AW27&lt;=N_GRUP,"Atas",IF(AW27&gt;N_SISWA-N_GRUP,"Bawah","Tengah")))</f>
        <v>Tengah</v>
      </c>
    </row>
    <row r="28" customFormat="false" ht="15" hidden="false" customHeight="true" outlineLevel="0" collapsed="false">
      <c r="A28" s="16" t="n">
        <v>23</v>
      </c>
      <c r="B28" s="20" t="str">
        <f aca="false">IF(JAWABAN!B28="","",JAWABAN!B28)</f>
        <v>SISWA 23</v>
      </c>
      <c r="C28" s="20" t="str">
        <f aca="false">IF(JAWABAN!C28="","",JAWABAN!C28)</f>
        <v>IX G</v>
      </c>
      <c r="D28" s="29" t="str">
        <f aca="false">IF(JAWABAN!D28="","",JAWABAN!D28)</f>
        <v>012309</v>
      </c>
      <c r="E28" s="16" t="n">
        <f aca="false">IF(OR($B28="",E$4=""),"",IF(UPPER(TRIM(JAWABAN!E28))=E$4,1,0))</f>
        <v>0</v>
      </c>
      <c r="F28" s="16" t="n">
        <f aca="false">IF(OR($B28="",F$4=""),"",IF(UPPER(TRIM(JAWABAN!F28))=F$4,1,0))</f>
        <v>1</v>
      </c>
      <c r="G28" s="16" t="n">
        <f aca="false">IF(OR($B28="",G$4=""),"",IF(UPPER(TRIM(JAWABAN!G28))=G$4,1,0))</f>
        <v>0</v>
      </c>
      <c r="H28" s="16" t="n">
        <f aca="false">IF(OR($B28="",H$4=""),"",IF(UPPER(TRIM(JAWABAN!H28))=H$4,1,0))</f>
        <v>0</v>
      </c>
      <c r="I28" s="16" t="n">
        <f aca="false">IF(OR($B28="",I$4=""),"",IF(UPPER(TRIM(JAWABAN!I28))=I$4,1,0))</f>
        <v>0</v>
      </c>
      <c r="J28" s="16" t="n">
        <f aca="false">IF(OR($B28="",J$4=""),"",IF(UPPER(TRIM(JAWABAN!J28))=J$4,1,0))</f>
        <v>1</v>
      </c>
      <c r="K28" s="16" t="n">
        <f aca="false">IF(OR($B28="",K$4=""),"",IF(UPPER(TRIM(JAWABAN!K28))=K$4,1,0))</f>
        <v>1</v>
      </c>
      <c r="L28" s="16" t="n">
        <f aca="false">IF(OR($B28="",L$4=""),"",IF(UPPER(TRIM(JAWABAN!L28))=L$4,1,0))</f>
        <v>1</v>
      </c>
      <c r="M28" s="16" t="n">
        <f aca="false">IF(OR($B28="",M$4=""),"",IF(UPPER(TRIM(JAWABAN!M28))=M$4,1,0))</f>
        <v>1</v>
      </c>
      <c r="N28" s="16" t="n">
        <f aca="false">IF(OR($B28="",N$4=""),"",IF(UPPER(TRIM(JAWABAN!N28))=N$4,1,0))</f>
        <v>1</v>
      </c>
      <c r="O28" s="16" t="n">
        <f aca="false">IF(OR($B28="",O$4=""),"",IF(UPPER(TRIM(JAWABAN!O28))=O$4,1,0))</f>
        <v>1</v>
      </c>
      <c r="P28" s="16" t="n">
        <f aca="false">IF(OR($B28="",P$4=""),"",IF(UPPER(TRIM(JAWABAN!P28))=P$4,1,0))</f>
        <v>0</v>
      </c>
      <c r="Q28" s="16" t="n">
        <f aca="false">IF(OR($B28="",Q$4=""),"",IF(UPPER(TRIM(JAWABAN!Q28))=Q$4,1,0))</f>
        <v>1</v>
      </c>
      <c r="R28" s="16" t="n">
        <f aca="false">IF(OR($B28="",R$4=""),"",IF(UPPER(TRIM(JAWABAN!R28))=R$4,1,0))</f>
        <v>1</v>
      </c>
      <c r="S28" s="16" t="n">
        <f aca="false">IF(OR($B28="",S$4=""),"",IF(UPPER(TRIM(JAWABAN!S28))=S$4,1,0))</f>
        <v>1</v>
      </c>
      <c r="T28" s="16" t="n">
        <f aca="false">IF(OR($B28="",T$4=""),"",IF(UPPER(TRIM(JAWABAN!T28))=T$4,1,0))</f>
        <v>0</v>
      </c>
      <c r="U28" s="16" t="n">
        <f aca="false">IF(OR($B28="",U$4=""),"",IF(UPPER(TRIM(JAWABAN!U28))=U$4,1,0))</f>
        <v>1</v>
      </c>
      <c r="V28" s="16" t="n">
        <f aca="false">IF(OR($B28="",V$4=""),"",IF(UPPER(TRIM(JAWABAN!V28))=V$4,1,0))</f>
        <v>0</v>
      </c>
      <c r="W28" s="16" t="n">
        <f aca="false">IF(OR($B28="",W$4=""),"",IF(UPPER(TRIM(JAWABAN!W28))=W$4,1,0))</f>
        <v>0</v>
      </c>
      <c r="X28" s="16" t="n">
        <f aca="false">IF(OR($B28="",X$4=""),"",IF(UPPER(TRIM(JAWABAN!X28))=X$4,1,0))</f>
        <v>1</v>
      </c>
      <c r="Y28" s="16" t="n">
        <f aca="false">IF(OR($B28="",Y$4=""),"",IF(UPPER(TRIM(JAWABAN!Y28))=Y$4,1,0))</f>
        <v>0</v>
      </c>
      <c r="Z28" s="16" t="n">
        <f aca="false">IF(OR($B28="",Z$4=""),"",IF(UPPER(TRIM(JAWABAN!Z28))=Z$4,1,0))</f>
        <v>1</v>
      </c>
      <c r="AA28" s="16" t="n">
        <f aca="false">IF(OR($B28="",AA$4=""),"",IF(UPPER(TRIM(JAWABAN!AA28))=AA$4,1,0))</f>
        <v>1</v>
      </c>
      <c r="AB28" s="16" t="n">
        <f aca="false">IF(OR($B28="",AB$4=""),"",IF(UPPER(TRIM(JAWABAN!AB28))=AB$4,1,0))</f>
        <v>1</v>
      </c>
      <c r="AC28" s="16" t="n">
        <f aca="false">IF(OR($B28="",AC$4=""),"",IF(UPPER(TRIM(JAWABAN!AC28))=AC$4,1,0))</f>
        <v>0</v>
      </c>
      <c r="AD28" s="16" t="n">
        <f aca="false">IF(OR($B28="",AD$4=""),"",IF(UPPER(TRIM(JAWABAN!AD28))=AD$4,1,0))</f>
        <v>1</v>
      </c>
      <c r="AE28" s="16" t="n">
        <f aca="false">IF(OR($B28="",AE$4=""),"",IF(UPPER(TRIM(JAWABAN!AE28))=AE$4,1,0))</f>
        <v>1</v>
      </c>
      <c r="AF28" s="16" t="n">
        <f aca="false">IF(OR($B28="",AF$4=""),"",IF(UPPER(TRIM(JAWABAN!AF28))=AF$4,1,0))</f>
        <v>1</v>
      </c>
      <c r="AG28" s="16" t="n">
        <f aca="false">IF(OR($B28="",AG$4=""),"",IF(UPPER(TRIM(JAWABAN!AG28))=AG$4,1,0))</f>
        <v>1</v>
      </c>
      <c r="AH28" s="16" t="n">
        <f aca="false">IF(OR($B28="",AH$4=""),"",IF(UPPER(TRIM(JAWABAN!AH28))=AH$4,1,0))</f>
        <v>1</v>
      </c>
      <c r="AI28" s="16" t="n">
        <f aca="false">IF(OR($B28="",AI$4=""),"",IF(UPPER(TRIM(JAWABAN!AI28))=AI$4,1,0))</f>
        <v>1</v>
      </c>
      <c r="AJ28" s="16" t="n">
        <f aca="false">IF(OR($B28="",AJ$4=""),"",IF(UPPER(TRIM(JAWABAN!AJ28))=AJ$4,1,0))</f>
        <v>0</v>
      </c>
      <c r="AK28" s="16" t="n">
        <f aca="false">IF(OR($B28="",AK$4=""),"",IF(UPPER(TRIM(JAWABAN!AK28))=AK$4,1,0))</f>
        <v>0</v>
      </c>
      <c r="AL28" s="16" t="n">
        <f aca="false">IF(OR($B28="",AL$4=""),"",IF(UPPER(TRIM(JAWABAN!AL28))=AL$4,1,0))</f>
        <v>1</v>
      </c>
      <c r="AM28" s="16" t="n">
        <f aca="false">IF(OR($B28="",AM$4=""),"",IF(UPPER(TRIM(JAWABAN!AM28))=AM$4,1,0))</f>
        <v>0</v>
      </c>
      <c r="AN28" s="16" t="n">
        <f aca="false">IF(OR($B28="",AN$4=""),"",IF(UPPER(TRIM(JAWABAN!AN28))=AN$4,1,0))</f>
        <v>0</v>
      </c>
      <c r="AO28" s="16" t="n">
        <f aca="false">IF(OR($B28="",AO$4=""),"",IF(UPPER(TRIM(JAWABAN!AO28))=AO$4,1,0))</f>
        <v>1</v>
      </c>
      <c r="AP28" s="16" t="n">
        <f aca="false">IF(OR($B28="",AP$4=""),"",IF(UPPER(TRIM(JAWABAN!AP28))=AP$4,1,0))</f>
        <v>1</v>
      </c>
      <c r="AQ28" s="16" t="n">
        <f aca="false">IF(OR($B28="",AQ$4=""),"",IF(UPPER(TRIM(JAWABAN!AQ28))=AQ$4,1,0))</f>
        <v>0</v>
      </c>
      <c r="AR28" s="16" t="n">
        <f aca="false">IF(OR($B28="",AR$4=""),"",IF(UPPER(TRIM(JAWABAN!AR28))=AR$4,1,0))</f>
        <v>1</v>
      </c>
      <c r="AS28" s="30" t="n">
        <f aca="false">IF($B28="","",SUM(E28:AR28))</f>
        <v>25</v>
      </c>
      <c r="AT28" s="31" t="n">
        <f aca="false">IF(AS28="","",IFERROR(ROUND(AS28/K_SOAL*100,2),""))</f>
        <v>62.5</v>
      </c>
      <c r="AU28" s="16" t="str">
        <f aca="false">IF(AT28="","",IF(AT28&gt;=NILAI_KKM,"Tuntas","Belum tuntas"))</f>
        <v>Belum tuntas</v>
      </c>
      <c r="AV28" s="32" t="n">
        <f aca="false">IF(AS28="","",AS28+(1000-ROW())/100000)</f>
        <v>25.00972</v>
      </c>
      <c r="AW28" s="33" t="n">
        <f aca="false">IF(AV28="","",RANK(AV28,$AV$6:$AV$55))</f>
        <v>13</v>
      </c>
      <c r="AX28" s="30" t="n">
        <f aca="false">IF(AS28="","",RANK(AS28,$AS$6:$AS$55))</f>
        <v>13</v>
      </c>
      <c r="AY28" s="16" t="str">
        <f aca="false">IF(AW28="","",IF(AW28&lt;=N_GRUP,"Atas",IF(AW28&gt;N_SISWA-N_GRUP,"Bawah","Tengah")))</f>
        <v>Tengah</v>
      </c>
    </row>
    <row r="29" customFormat="false" ht="15" hidden="false" customHeight="true" outlineLevel="0" collapsed="false">
      <c r="A29" s="16" t="n">
        <v>24</v>
      </c>
      <c r="B29" s="20" t="str">
        <f aca="false">IF(JAWABAN!B29="","",JAWABAN!B29)</f>
        <v>SISWA 24</v>
      </c>
      <c r="C29" s="20" t="str">
        <f aca="false">IF(JAWABAN!C29="","",JAWABAN!C29)</f>
        <v>IX G</v>
      </c>
      <c r="D29" s="29" t="str">
        <f aca="false">IF(JAWABAN!D29="","",JAWABAN!D29)</f>
        <v>012308</v>
      </c>
      <c r="E29" s="16" t="n">
        <f aca="false">IF(OR($B29="",E$4=""),"",IF(UPPER(TRIM(JAWABAN!E29))=E$4,1,0))</f>
        <v>0</v>
      </c>
      <c r="F29" s="16" t="n">
        <f aca="false">IF(OR($B29="",F$4=""),"",IF(UPPER(TRIM(JAWABAN!F29))=F$4,1,0))</f>
        <v>0</v>
      </c>
      <c r="G29" s="16" t="n">
        <f aca="false">IF(OR($B29="",G$4=""),"",IF(UPPER(TRIM(JAWABAN!G29))=G$4,1,0))</f>
        <v>1</v>
      </c>
      <c r="H29" s="16" t="n">
        <f aca="false">IF(OR($B29="",H$4=""),"",IF(UPPER(TRIM(JAWABAN!H29))=H$4,1,0))</f>
        <v>1</v>
      </c>
      <c r="I29" s="16" t="n">
        <f aca="false">IF(OR($B29="",I$4=""),"",IF(UPPER(TRIM(JAWABAN!I29))=I$4,1,0))</f>
        <v>0</v>
      </c>
      <c r="J29" s="16" t="n">
        <f aca="false">IF(OR($B29="",J$4=""),"",IF(UPPER(TRIM(JAWABAN!J29))=J$4,1,0))</f>
        <v>0</v>
      </c>
      <c r="K29" s="16" t="n">
        <f aca="false">IF(OR($B29="",K$4=""),"",IF(UPPER(TRIM(JAWABAN!K29))=K$4,1,0))</f>
        <v>1</v>
      </c>
      <c r="L29" s="16" t="n">
        <f aca="false">IF(OR($B29="",L$4=""),"",IF(UPPER(TRIM(JAWABAN!L29))=L$4,1,0))</f>
        <v>0</v>
      </c>
      <c r="M29" s="16" t="n">
        <f aca="false">IF(OR($B29="",M$4=""),"",IF(UPPER(TRIM(JAWABAN!M29))=M$4,1,0))</f>
        <v>0</v>
      </c>
      <c r="N29" s="16" t="n">
        <f aca="false">IF(OR($B29="",N$4=""),"",IF(UPPER(TRIM(JAWABAN!N29))=N$4,1,0))</f>
        <v>0</v>
      </c>
      <c r="O29" s="16" t="n">
        <f aca="false">IF(OR($B29="",O$4=""),"",IF(UPPER(TRIM(JAWABAN!O29))=O$4,1,0))</f>
        <v>1</v>
      </c>
      <c r="P29" s="16" t="n">
        <f aca="false">IF(OR($B29="",P$4=""),"",IF(UPPER(TRIM(JAWABAN!P29))=P$4,1,0))</f>
        <v>0</v>
      </c>
      <c r="Q29" s="16" t="n">
        <f aca="false">IF(OR($B29="",Q$4=""),"",IF(UPPER(TRIM(JAWABAN!Q29))=Q$4,1,0))</f>
        <v>0</v>
      </c>
      <c r="R29" s="16" t="n">
        <f aca="false">IF(OR($B29="",R$4=""),"",IF(UPPER(TRIM(JAWABAN!R29))=R$4,1,0))</f>
        <v>1</v>
      </c>
      <c r="S29" s="16" t="n">
        <f aca="false">IF(OR($B29="",S$4=""),"",IF(UPPER(TRIM(JAWABAN!S29))=S$4,1,0))</f>
        <v>0</v>
      </c>
      <c r="T29" s="16" t="n">
        <f aca="false">IF(OR($B29="",T$4=""),"",IF(UPPER(TRIM(JAWABAN!T29))=T$4,1,0))</f>
        <v>1</v>
      </c>
      <c r="U29" s="16" t="n">
        <f aca="false">IF(OR($B29="",U$4=""),"",IF(UPPER(TRIM(JAWABAN!U29))=U$4,1,0))</f>
        <v>1</v>
      </c>
      <c r="V29" s="16" t="n">
        <f aca="false">IF(OR($B29="",V$4=""),"",IF(UPPER(TRIM(JAWABAN!V29))=V$4,1,0))</f>
        <v>0</v>
      </c>
      <c r="W29" s="16" t="n">
        <f aca="false">IF(OR($B29="",W$4=""),"",IF(UPPER(TRIM(JAWABAN!W29))=W$4,1,0))</f>
        <v>1</v>
      </c>
      <c r="X29" s="16" t="n">
        <f aca="false">IF(OR($B29="",X$4=""),"",IF(UPPER(TRIM(JAWABAN!X29))=X$4,1,0))</f>
        <v>0</v>
      </c>
      <c r="Y29" s="16" t="n">
        <f aca="false">IF(OR($B29="",Y$4=""),"",IF(UPPER(TRIM(JAWABAN!Y29))=Y$4,1,0))</f>
        <v>0</v>
      </c>
      <c r="Z29" s="16" t="n">
        <f aca="false">IF(OR($B29="",Z$4=""),"",IF(UPPER(TRIM(JAWABAN!Z29))=Z$4,1,0))</f>
        <v>1</v>
      </c>
      <c r="AA29" s="16" t="n">
        <f aca="false">IF(OR($B29="",AA$4=""),"",IF(UPPER(TRIM(JAWABAN!AA29))=AA$4,1,0))</f>
        <v>1</v>
      </c>
      <c r="AB29" s="16" t="n">
        <f aca="false">IF(OR($B29="",AB$4=""),"",IF(UPPER(TRIM(JAWABAN!AB29))=AB$4,1,0))</f>
        <v>0</v>
      </c>
      <c r="AC29" s="16" t="n">
        <f aca="false">IF(OR($B29="",AC$4=""),"",IF(UPPER(TRIM(JAWABAN!AC29))=AC$4,1,0))</f>
        <v>0</v>
      </c>
      <c r="AD29" s="16" t="n">
        <f aca="false">IF(OR($B29="",AD$4=""),"",IF(UPPER(TRIM(JAWABAN!AD29))=AD$4,1,0))</f>
        <v>1</v>
      </c>
      <c r="AE29" s="16" t="n">
        <f aca="false">IF(OR($B29="",AE$4=""),"",IF(UPPER(TRIM(JAWABAN!AE29))=AE$4,1,0))</f>
        <v>1</v>
      </c>
      <c r="AF29" s="16" t="n">
        <f aca="false">IF(OR($B29="",AF$4=""),"",IF(UPPER(TRIM(JAWABAN!AF29))=AF$4,1,0))</f>
        <v>1</v>
      </c>
      <c r="AG29" s="16" t="n">
        <f aca="false">IF(OR($B29="",AG$4=""),"",IF(UPPER(TRIM(JAWABAN!AG29))=AG$4,1,0))</f>
        <v>1</v>
      </c>
      <c r="AH29" s="16" t="n">
        <f aca="false">IF(OR($B29="",AH$4=""),"",IF(UPPER(TRIM(JAWABAN!AH29))=AH$4,1,0))</f>
        <v>0</v>
      </c>
      <c r="AI29" s="16" t="n">
        <f aca="false">IF(OR($B29="",AI$4=""),"",IF(UPPER(TRIM(JAWABAN!AI29))=AI$4,1,0))</f>
        <v>0</v>
      </c>
      <c r="AJ29" s="16" t="n">
        <f aca="false">IF(OR($B29="",AJ$4=""),"",IF(UPPER(TRIM(JAWABAN!AJ29))=AJ$4,1,0))</f>
        <v>0</v>
      </c>
      <c r="AK29" s="16" t="n">
        <f aca="false">IF(OR($B29="",AK$4=""),"",IF(UPPER(TRIM(JAWABAN!AK29))=AK$4,1,0))</f>
        <v>0</v>
      </c>
      <c r="AL29" s="16" t="n">
        <f aca="false">IF(OR($B29="",AL$4=""),"",IF(UPPER(TRIM(JAWABAN!AL29))=AL$4,1,0))</f>
        <v>0</v>
      </c>
      <c r="AM29" s="16" t="n">
        <f aca="false">IF(OR($B29="",AM$4=""),"",IF(UPPER(TRIM(JAWABAN!AM29))=AM$4,1,0))</f>
        <v>1</v>
      </c>
      <c r="AN29" s="16" t="n">
        <f aca="false">IF(OR($B29="",AN$4=""),"",IF(UPPER(TRIM(JAWABAN!AN29))=AN$4,1,0))</f>
        <v>0</v>
      </c>
      <c r="AO29" s="16" t="n">
        <f aca="false">IF(OR($B29="",AO$4=""),"",IF(UPPER(TRIM(JAWABAN!AO29))=AO$4,1,0))</f>
        <v>1</v>
      </c>
      <c r="AP29" s="16" t="n">
        <f aca="false">IF(OR($B29="",AP$4=""),"",IF(UPPER(TRIM(JAWABAN!AP29))=AP$4,1,0))</f>
        <v>0</v>
      </c>
      <c r="AQ29" s="16" t="n">
        <f aca="false">IF(OR($B29="",AQ$4=""),"",IF(UPPER(TRIM(JAWABAN!AQ29))=AQ$4,1,0))</f>
        <v>1</v>
      </c>
      <c r="AR29" s="16" t="n">
        <f aca="false">IF(OR($B29="",AR$4=""),"",IF(UPPER(TRIM(JAWABAN!AR29))=AR$4,1,0))</f>
        <v>0</v>
      </c>
      <c r="AS29" s="30" t="n">
        <f aca="false">IF($B29="","",SUM(E29:AR29))</f>
        <v>17</v>
      </c>
      <c r="AT29" s="31" t="n">
        <f aca="false">IF(AS29="","",IFERROR(ROUND(AS29/K_SOAL*100,2),""))</f>
        <v>42.5</v>
      </c>
      <c r="AU29" s="16" t="str">
        <f aca="false">IF(AT29="","",IF(AT29&gt;=NILAI_KKM,"Tuntas","Belum tuntas"))</f>
        <v>Belum tuntas</v>
      </c>
      <c r="AV29" s="32" t="n">
        <f aca="false">IF(AS29="","",AS29+(1000-ROW())/100000)</f>
        <v>17.00971</v>
      </c>
      <c r="AW29" s="33" t="n">
        <f aca="false">IF(AV29="","",RANK(AV29,$AV$6:$AV$55))</f>
        <v>28</v>
      </c>
      <c r="AX29" s="30" t="n">
        <f aca="false">IF(AS29="","",RANK(AS29,$AS$6:$AS$55))</f>
        <v>27</v>
      </c>
      <c r="AY29" s="16" t="str">
        <f aca="false">IF(AW29="","",IF(AW29&lt;=N_GRUP,"Atas",IF(AW29&gt;N_SISWA-N_GRUP,"Bawah","Tengah")))</f>
        <v>Bawah</v>
      </c>
    </row>
    <row r="30" customFormat="false" ht="15" hidden="false" customHeight="true" outlineLevel="0" collapsed="false">
      <c r="A30" s="16" t="n">
        <v>25</v>
      </c>
      <c r="B30" s="20" t="str">
        <f aca="false">IF(JAWABAN!B30="","",JAWABAN!B30)</f>
        <v>SISWA 25</v>
      </c>
      <c r="C30" s="20" t="str">
        <f aca="false">IF(JAWABAN!C30="","",JAWABAN!C30)</f>
        <v>IX G</v>
      </c>
      <c r="D30" s="29" t="str">
        <f aca="false">IF(JAWABAN!D30="","",JAWABAN!D30)</f>
        <v>012307</v>
      </c>
      <c r="E30" s="16" t="n">
        <f aca="false">IF(OR($B30="",E$4=""),"",IF(UPPER(TRIM(JAWABAN!E30))=E$4,1,0))</f>
        <v>0</v>
      </c>
      <c r="F30" s="16" t="n">
        <f aca="false">IF(OR($B30="",F$4=""),"",IF(UPPER(TRIM(JAWABAN!F30))=F$4,1,0))</f>
        <v>0</v>
      </c>
      <c r="G30" s="16" t="n">
        <f aca="false">IF(OR($B30="",G$4=""),"",IF(UPPER(TRIM(JAWABAN!G30))=G$4,1,0))</f>
        <v>1</v>
      </c>
      <c r="H30" s="16" t="n">
        <f aca="false">IF(OR($B30="",H$4=""),"",IF(UPPER(TRIM(JAWABAN!H30))=H$4,1,0))</f>
        <v>1</v>
      </c>
      <c r="I30" s="16" t="n">
        <f aca="false">IF(OR($B30="",I$4=""),"",IF(UPPER(TRIM(JAWABAN!I30))=I$4,1,0))</f>
        <v>1</v>
      </c>
      <c r="J30" s="16" t="n">
        <f aca="false">IF(OR($B30="",J$4=""),"",IF(UPPER(TRIM(JAWABAN!J30))=J$4,1,0))</f>
        <v>1</v>
      </c>
      <c r="K30" s="16" t="n">
        <f aca="false">IF(OR($B30="",K$4=""),"",IF(UPPER(TRIM(JAWABAN!K30))=K$4,1,0))</f>
        <v>0</v>
      </c>
      <c r="L30" s="16" t="n">
        <f aca="false">IF(OR($B30="",L$4=""),"",IF(UPPER(TRIM(JAWABAN!L30))=L$4,1,0))</f>
        <v>1</v>
      </c>
      <c r="M30" s="16" t="n">
        <f aca="false">IF(OR($B30="",M$4=""),"",IF(UPPER(TRIM(JAWABAN!M30))=M$4,1,0))</f>
        <v>1</v>
      </c>
      <c r="N30" s="16" t="n">
        <f aca="false">IF(OR($B30="",N$4=""),"",IF(UPPER(TRIM(JAWABAN!N30))=N$4,1,0))</f>
        <v>1</v>
      </c>
      <c r="O30" s="16" t="n">
        <f aca="false">IF(OR($B30="",O$4=""),"",IF(UPPER(TRIM(JAWABAN!O30))=O$4,1,0))</f>
        <v>1</v>
      </c>
      <c r="P30" s="16" t="n">
        <f aca="false">IF(OR($B30="",P$4=""),"",IF(UPPER(TRIM(JAWABAN!P30))=P$4,1,0))</f>
        <v>0</v>
      </c>
      <c r="Q30" s="16" t="n">
        <f aca="false">IF(OR($B30="",Q$4=""),"",IF(UPPER(TRIM(JAWABAN!Q30))=Q$4,1,0))</f>
        <v>1</v>
      </c>
      <c r="R30" s="16" t="n">
        <f aca="false">IF(OR($B30="",R$4=""),"",IF(UPPER(TRIM(JAWABAN!R30))=R$4,1,0))</f>
        <v>1</v>
      </c>
      <c r="S30" s="16" t="n">
        <f aca="false">IF(OR($B30="",S$4=""),"",IF(UPPER(TRIM(JAWABAN!S30))=S$4,1,0))</f>
        <v>0</v>
      </c>
      <c r="T30" s="16" t="n">
        <f aca="false">IF(OR($B30="",T$4=""),"",IF(UPPER(TRIM(JAWABAN!T30))=T$4,1,0))</f>
        <v>0</v>
      </c>
      <c r="U30" s="16" t="n">
        <f aca="false">IF(OR($B30="",U$4=""),"",IF(UPPER(TRIM(JAWABAN!U30))=U$4,1,0))</f>
        <v>1</v>
      </c>
      <c r="V30" s="16" t="n">
        <f aca="false">IF(OR($B30="",V$4=""),"",IF(UPPER(TRIM(JAWABAN!V30))=V$4,1,0))</f>
        <v>1</v>
      </c>
      <c r="W30" s="16" t="n">
        <f aca="false">IF(OR($B30="",W$4=""),"",IF(UPPER(TRIM(JAWABAN!W30))=W$4,1,0))</f>
        <v>0</v>
      </c>
      <c r="X30" s="16" t="n">
        <f aca="false">IF(OR($B30="",X$4=""),"",IF(UPPER(TRIM(JAWABAN!X30))=X$4,1,0))</f>
        <v>1</v>
      </c>
      <c r="Y30" s="16" t="n">
        <f aca="false">IF(OR($B30="",Y$4=""),"",IF(UPPER(TRIM(JAWABAN!Y30))=Y$4,1,0))</f>
        <v>1</v>
      </c>
      <c r="Z30" s="16" t="n">
        <f aca="false">IF(OR($B30="",Z$4=""),"",IF(UPPER(TRIM(JAWABAN!Z30))=Z$4,1,0))</f>
        <v>1</v>
      </c>
      <c r="AA30" s="16" t="n">
        <f aca="false">IF(OR($B30="",AA$4=""),"",IF(UPPER(TRIM(JAWABAN!AA30))=AA$4,1,0))</f>
        <v>1</v>
      </c>
      <c r="AB30" s="16" t="n">
        <f aca="false">IF(OR($B30="",AB$4=""),"",IF(UPPER(TRIM(JAWABAN!AB30))=AB$4,1,0))</f>
        <v>1</v>
      </c>
      <c r="AC30" s="16" t="n">
        <f aca="false">IF(OR($B30="",AC$4=""),"",IF(UPPER(TRIM(JAWABAN!AC30))=AC$4,1,0))</f>
        <v>1</v>
      </c>
      <c r="AD30" s="16" t="n">
        <f aca="false">IF(OR($B30="",AD$4=""),"",IF(UPPER(TRIM(JAWABAN!AD30))=AD$4,1,0))</f>
        <v>1</v>
      </c>
      <c r="AE30" s="16" t="n">
        <f aca="false">IF(OR($B30="",AE$4=""),"",IF(UPPER(TRIM(JAWABAN!AE30))=AE$4,1,0))</f>
        <v>1</v>
      </c>
      <c r="AF30" s="16" t="n">
        <f aca="false">IF(OR($B30="",AF$4=""),"",IF(UPPER(TRIM(JAWABAN!AF30))=AF$4,1,0))</f>
        <v>1</v>
      </c>
      <c r="AG30" s="16" t="n">
        <f aca="false">IF(OR($B30="",AG$4=""),"",IF(UPPER(TRIM(JAWABAN!AG30))=AG$4,1,0))</f>
        <v>1</v>
      </c>
      <c r="AH30" s="16" t="n">
        <f aca="false">IF(OR($B30="",AH$4=""),"",IF(UPPER(TRIM(JAWABAN!AH30))=AH$4,1,0))</f>
        <v>1</v>
      </c>
      <c r="AI30" s="16" t="n">
        <f aca="false">IF(OR($B30="",AI$4=""),"",IF(UPPER(TRIM(JAWABAN!AI30))=AI$4,1,0))</f>
        <v>1</v>
      </c>
      <c r="AJ30" s="16" t="n">
        <f aca="false">IF(OR($B30="",AJ$4=""),"",IF(UPPER(TRIM(JAWABAN!AJ30))=AJ$4,1,0))</f>
        <v>1</v>
      </c>
      <c r="AK30" s="16" t="n">
        <f aca="false">IF(OR($B30="",AK$4=""),"",IF(UPPER(TRIM(JAWABAN!AK30))=AK$4,1,0))</f>
        <v>0</v>
      </c>
      <c r="AL30" s="16" t="n">
        <f aca="false">IF(OR($B30="",AL$4=""),"",IF(UPPER(TRIM(JAWABAN!AL30))=AL$4,1,0))</f>
        <v>0</v>
      </c>
      <c r="AM30" s="16" t="n">
        <f aca="false">IF(OR($B30="",AM$4=""),"",IF(UPPER(TRIM(JAWABAN!AM30))=AM$4,1,0))</f>
        <v>0</v>
      </c>
      <c r="AN30" s="16" t="n">
        <f aca="false">IF(OR($B30="",AN$4=""),"",IF(UPPER(TRIM(JAWABAN!AN30))=AN$4,1,0))</f>
        <v>1</v>
      </c>
      <c r="AO30" s="16" t="n">
        <f aca="false">IF(OR($B30="",AO$4=""),"",IF(UPPER(TRIM(JAWABAN!AO30))=AO$4,1,0))</f>
        <v>1</v>
      </c>
      <c r="AP30" s="16" t="n">
        <f aca="false">IF(OR($B30="",AP$4=""),"",IF(UPPER(TRIM(JAWABAN!AP30))=AP$4,1,0))</f>
        <v>1</v>
      </c>
      <c r="AQ30" s="16" t="n">
        <f aca="false">IF(OR($B30="",AQ$4=""),"",IF(UPPER(TRIM(JAWABAN!AQ30))=AQ$4,1,0))</f>
        <v>1</v>
      </c>
      <c r="AR30" s="16" t="n">
        <f aca="false">IF(OR($B30="",AR$4=""),"",IF(UPPER(TRIM(JAWABAN!AR30))=AR$4,1,0))</f>
        <v>0</v>
      </c>
      <c r="AS30" s="30" t="n">
        <f aca="false">IF($B30="","",SUM(E30:AR30))</f>
        <v>29</v>
      </c>
      <c r="AT30" s="31" t="n">
        <f aca="false">IF(AS30="","",IFERROR(ROUND(AS30/K_SOAL*100,2),""))</f>
        <v>72.5</v>
      </c>
      <c r="AU30" s="16" t="str">
        <f aca="false">IF(AT30="","",IF(AT30&gt;=NILAI_KKM,"Tuntas","Belum tuntas"))</f>
        <v>Belum tuntas</v>
      </c>
      <c r="AV30" s="32" t="n">
        <f aca="false">IF(AS30="","",AS30+(1000-ROW())/100000)</f>
        <v>29.0097</v>
      </c>
      <c r="AW30" s="33" t="n">
        <f aca="false">IF(AV30="","",RANK(AV30,$AV$6:$AV$55))</f>
        <v>10</v>
      </c>
      <c r="AX30" s="30" t="n">
        <f aca="false">IF(AS30="","",RANK(AS30,$AS$6:$AS$55))</f>
        <v>7</v>
      </c>
      <c r="AY30" s="16" t="str">
        <f aca="false">IF(AW30="","",IF(AW30&lt;=N_GRUP,"Atas",IF(AW30&gt;N_SISWA-N_GRUP,"Bawah","Tengah")))</f>
        <v>Tengah</v>
      </c>
    </row>
    <row r="31" customFormat="false" ht="15" hidden="false" customHeight="true" outlineLevel="0" collapsed="false">
      <c r="A31" s="16" t="n">
        <v>26</v>
      </c>
      <c r="B31" s="20" t="str">
        <f aca="false">IF(JAWABAN!B31="","",JAWABAN!B31)</f>
        <v>SISWA 26</v>
      </c>
      <c r="C31" s="20" t="str">
        <f aca="false">IF(JAWABAN!C31="","",JAWABAN!C31)</f>
        <v>IX G</v>
      </c>
      <c r="D31" s="29" t="str">
        <f aca="false">IF(JAWABAN!D31="","",JAWABAN!D31)</f>
        <v>012306</v>
      </c>
      <c r="E31" s="16" t="n">
        <f aca="false">IF(OR($B31="",E$4=""),"",IF(UPPER(TRIM(JAWABAN!E31))=E$4,1,0))</f>
        <v>1</v>
      </c>
      <c r="F31" s="16" t="n">
        <f aca="false">IF(OR($B31="",F$4=""),"",IF(UPPER(TRIM(JAWABAN!F31))=F$4,1,0))</f>
        <v>1</v>
      </c>
      <c r="G31" s="16" t="n">
        <f aca="false">IF(OR($B31="",G$4=""),"",IF(UPPER(TRIM(JAWABAN!G31))=G$4,1,0))</f>
        <v>1</v>
      </c>
      <c r="H31" s="16" t="n">
        <f aca="false">IF(OR($B31="",H$4=""),"",IF(UPPER(TRIM(JAWABAN!H31))=H$4,1,0))</f>
        <v>1</v>
      </c>
      <c r="I31" s="16" t="n">
        <f aca="false">IF(OR($B31="",I$4=""),"",IF(UPPER(TRIM(JAWABAN!I31))=I$4,1,0))</f>
        <v>1</v>
      </c>
      <c r="J31" s="16" t="n">
        <f aca="false">IF(OR($B31="",J$4=""),"",IF(UPPER(TRIM(JAWABAN!J31))=J$4,1,0))</f>
        <v>0</v>
      </c>
      <c r="K31" s="16" t="n">
        <f aca="false">IF(OR($B31="",K$4=""),"",IF(UPPER(TRIM(JAWABAN!K31))=K$4,1,0))</f>
        <v>0</v>
      </c>
      <c r="L31" s="16" t="n">
        <f aca="false">IF(OR($B31="",L$4=""),"",IF(UPPER(TRIM(JAWABAN!L31))=L$4,1,0))</f>
        <v>1</v>
      </c>
      <c r="M31" s="16" t="n">
        <f aca="false">IF(OR($B31="",M$4=""),"",IF(UPPER(TRIM(JAWABAN!M31))=M$4,1,0))</f>
        <v>0</v>
      </c>
      <c r="N31" s="16" t="n">
        <f aca="false">IF(OR($B31="",N$4=""),"",IF(UPPER(TRIM(JAWABAN!N31))=N$4,1,0))</f>
        <v>0</v>
      </c>
      <c r="O31" s="16" t="n">
        <f aca="false">IF(OR($B31="",O$4=""),"",IF(UPPER(TRIM(JAWABAN!O31))=O$4,1,0))</f>
        <v>1</v>
      </c>
      <c r="P31" s="16" t="n">
        <f aca="false">IF(OR($B31="",P$4=""),"",IF(UPPER(TRIM(JAWABAN!P31))=P$4,1,0))</f>
        <v>0</v>
      </c>
      <c r="Q31" s="16" t="n">
        <f aca="false">IF(OR($B31="",Q$4=""),"",IF(UPPER(TRIM(JAWABAN!Q31))=Q$4,1,0))</f>
        <v>1</v>
      </c>
      <c r="R31" s="16" t="n">
        <f aca="false">IF(OR($B31="",R$4=""),"",IF(UPPER(TRIM(JAWABAN!R31))=R$4,1,0))</f>
        <v>0</v>
      </c>
      <c r="S31" s="16" t="n">
        <f aca="false">IF(OR($B31="",S$4=""),"",IF(UPPER(TRIM(JAWABAN!S31))=S$4,1,0))</f>
        <v>0</v>
      </c>
      <c r="T31" s="16" t="n">
        <f aca="false">IF(OR($B31="",T$4=""),"",IF(UPPER(TRIM(JAWABAN!T31))=T$4,1,0))</f>
        <v>0</v>
      </c>
      <c r="U31" s="16" t="n">
        <f aca="false">IF(OR($B31="",U$4=""),"",IF(UPPER(TRIM(JAWABAN!U31))=U$4,1,0))</f>
        <v>0</v>
      </c>
      <c r="V31" s="16" t="n">
        <f aca="false">IF(OR($B31="",V$4=""),"",IF(UPPER(TRIM(JAWABAN!V31))=V$4,1,0))</f>
        <v>1</v>
      </c>
      <c r="W31" s="16" t="n">
        <f aca="false">IF(OR($B31="",W$4=""),"",IF(UPPER(TRIM(JAWABAN!W31))=W$4,1,0))</f>
        <v>0</v>
      </c>
      <c r="X31" s="16" t="n">
        <f aca="false">IF(OR($B31="",X$4=""),"",IF(UPPER(TRIM(JAWABAN!X31))=X$4,1,0))</f>
        <v>0</v>
      </c>
      <c r="Y31" s="16" t="n">
        <f aca="false">IF(OR($B31="",Y$4=""),"",IF(UPPER(TRIM(JAWABAN!Y31))=Y$4,1,0))</f>
        <v>0</v>
      </c>
      <c r="Z31" s="16" t="n">
        <f aca="false">IF(OR($B31="",Z$4=""),"",IF(UPPER(TRIM(JAWABAN!Z31))=Z$4,1,0))</f>
        <v>0</v>
      </c>
      <c r="AA31" s="16" t="n">
        <f aca="false">IF(OR($B31="",AA$4=""),"",IF(UPPER(TRIM(JAWABAN!AA31))=AA$4,1,0))</f>
        <v>1</v>
      </c>
      <c r="AB31" s="16" t="n">
        <f aca="false">IF(OR($B31="",AB$4=""),"",IF(UPPER(TRIM(JAWABAN!AB31))=AB$4,1,0))</f>
        <v>0</v>
      </c>
      <c r="AC31" s="16" t="n">
        <f aca="false">IF(OR($B31="",AC$4=""),"",IF(UPPER(TRIM(JAWABAN!AC31))=AC$4,1,0))</f>
        <v>1</v>
      </c>
      <c r="AD31" s="16" t="n">
        <f aca="false">IF(OR($B31="",AD$4=""),"",IF(UPPER(TRIM(JAWABAN!AD31))=AD$4,1,0))</f>
        <v>0</v>
      </c>
      <c r="AE31" s="16" t="n">
        <f aca="false">IF(OR($B31="",AE$4=""),"",IF(UPPER(TRIM(JAWABAN!AE31))=AE$4,1,0))</f>
        <v>0</v>
      </c>
      <c r="AF31" s="16" t="n">
        <f aca="false">IF(OR($B31="",AF$4=""),"",IF(UPPER(TRIM(JAWABAN!AF31))=AF$4,1,0))</f>
        <v>0</v>
      </c>
      <c r="AG31" s="16" t="n">
        <f aca="false">IF(OR($B31="",AG$4=""),"",IF(UPPER(TRIM(JAWABAN!AG31))=AG$4,1,0))</f>
        <v>0</v>
      </c>
      <c r="AH31" s="16" t="n">
        <f aca="false">IF(OR($B31="",AH$4=""),"",IF(UPPER(TRIM(JAWABAN!AH31))=AH$4,1,0))</f>
        <v>1</v>
      </c>
      <c r="AI31" s="16" t="n">
        <f aca="false">IF(OR($B31="",AI$4=""),"",IF(UPPER(TRIM(JAWABAN!AI31))=AI$4,1,0))</f>
        <v>0</v>
      </c>
      <c r="AJ31" s="16" t="n">
        <f aca="false">IF(OR($B31="",AJ$4=""),"",IF(UPPER(TRIM(JAWABAN!AJ31))=AJ$4,1,0))</f>
        <v>1</v>
      </c>
      <c r="AK31" s="16" t="n">
        <f aca="false">IF(OR($B31="",AK$4=""),"",IF(UPPER(TRIM(JAWABAN!AK31))=AK$4,1,0))</f>
        <v>0</v>
      </c>
      <c r="AL31" s="16" t="n">
        <f aca="false">IF(OR($B31="",AL$4=""),"",IF(UPPER(TRIM(JAWABAN!AL31))=AL$4,1,0))</f>
        <v>0</v>
      </c>
      <c r="AM31" s="16" t="n">
        <f aca="false">IF(OR($B31="",AM$4=""),"",IF(UPPER(TRIM(JAWABAN!AM31))=AM$4,1,0))</f>
        <v>0</v>
      </c>
      <c r="AN31" s="16" t="n">
        <f aca="false">IF(OR($B31="",AN$4=""),"",IF(UPPER(TRIM(JAWABAN!AN31))=AN$4,1,0))</f>
        <v>0</v>
      </c>
      <c r="AO31" s="16" t="n">
        <f aca="false">IF(OR($B31="",AO$4=""),"",IF(UPPER(TRIM(JAWABAN!AO31))=AO$4,1,0))</f>
        <v>1</v>
      </c>
      <c r="AP31" s="16" t="n">
        <f aca="false">IF(OR($B31="",AP$4=""),"",IF(UPPER(TRIM(JAWABAN!AP31))=AP$4,1,0))</f>
        <v>0</v>
      </c>
      <c r="AQ31" s="16" t="n">
        <f aca="false">IF(OR($B31="",AQ$4=""),"",IF(UPPER(TRIM(JAWABAN!AQ31))=AQ$4,1,0))</f>
        <v>1</v>
      </c>
      <c r="AR31" s="16" t="n">
        <f aca="false">IF(OR($B31="",AR$4=""),"",IF(UPPER(TRIM(JAWABAN!AR31))=AR$4,1,0))</f>
        <v>1</v>
      </c>
      <c r="AS31" s="30" t="n">
        <f aca="false">IF($B31="","",SUM(E31:AR31))</f>
        <v>16</v>
      </c>
      <c r="AT31" s="31" t="n">
        <f aca="false">IF(AS31="","",IFERROR(ROUND(AS31/K_SOAL*100,2),""))</f>
        <v>40</v>
      </c>
      <c r="AU31" s="16" t="str">
        <f aca="false">IF(AT31="","",IF(AT31&gt;=NILAI_KKM,"Tuntas","Belum tuntas"))</f>
        <v>Belum tuntas</v>
      </c>
      <c r="AV31" s="32" t="n">
        <f aca="false">IF(AS31="","",AS31+(1000-ROW())/100000)</f>
        <v>16.00969</v>
      </c>
      <c r="AW31" s="33" t="n">
        <f aca="false">IF(AV31="","",RANK(AV31,$AV$6:$AV$55))</f>
        <v>29</v>
      </c>
      <c r="AX31" s="30" t="n">
        <f aca="false">IF(AS31="","",RANK(AS31,$AS$6:$AS$55))</f>
        <v>29</v>
      </c>
      <c r="AY31" s="16" t="str">
        <f aca="false">IF(AW31="","",IF(AW31&lt;=N_GRUP,"Atas",IF(AW31&gt;N_SISWA-N_GRUP,"Bawah","Tengah")))</f>
        <v>Bawah</v>
      </c>
    </row>
    <row r="32" customFormat="false" ht="15" hidden="false" customHeight="true" outlineLevel="0" collapsed="false">
      <c r="A32" s="16" t="n">
        <v>27</v>
      </c>
      <c r="B32" s="20" t="str">
        <f aca="false">IF(JAWABAN!B32="","",JAWABAN!B32)</f>
        <v>SISWA 28</v>
      </c>
      <c r="C32" s="20" t="str">
        <f aca="false">IF(JAWABAN!C32="","",JAWABAN!C32)</f>
        <v>IX G</v>
      </c>
      <c r="D32" s="29" t="str">
        <f aca="false">IF(JAWABAN!D32="","",JAWABAN!D32)</f>
        <v>012304</v>
      </c>
      <c r="E32" s="16" t="n">
        <f aca="false">IF(OR($B32="",E$4=""),"",IF(UPPER(TRIM(JAWABAN!E32))=E$4,1,0))</f>
        <v>1</v>
      </c>
      <c r="F32" s="16" t="n">
        <f aca="false">IF(OR($B32="",F$4=""),"",IF(UPPER(TRIM(JAWABAN!F32))=F$4,1,0))</f>
        <v>1</v>
      </c>
      <c r="G32" s="16" t="n">
        <f aca="false">IF(OR($B32="",G$4=""),"",IF(UPPER(TRIM(JAWABAN!G32))=G$4,1,0))</f>
        <v>0</v>
      </c>
      <c r="H32" s="16" t="n">
        <f aca="false">IF(OR($B32="",H$4=""),"",IF(UPPER(TRIM(JAWABAN!H32))=H$4,1,0))</f>
        <v>1</v>
      </c>
      <c r="I32" s="16" t="n">
        <f aca="false">IF(OR($B32="",I$4=""),"",IF(UPPER(TRIM(JAWABAN!I32))=I$4,1,0))</f>
        <v>0</v>
      </c>
      <c r="J32" s="16" t="n">
        <f aca="false">IF(OR($B32="",J$4=""),"",IF(UPPER(TRIM(JAWABAN!J32))=J$4,1,0))</f>
        <v>0</v>
      </c>
      <c r="K32" s="16" t="n">
        <f aca="false">IF(OR($B32="",K$4=""),"",IF(UPPER(TRIM(JAWABAN!K32))=K$4,1,0))</f>
        <v>1</v>
      </c>
      <c r="L32" s="16" t="n">
        <f aca="false">IF(OR($B32="",L$4=""),"",IF(UPPER(TRIM(JAWABAN!L32))=L$4,1,0))</f>
        <v>1</v>
      </c>
      <c r="M32" s="16" t="n">
        <f aca="false">IF(OR($B32="",M$4=""),"",IF(UPPER(TRIM(JAWABAN!M32))=M$4,1,0))</f>
        <v>1</v>
      </c>
      <c r="N32" s="16" t="n">
        <f aca="false">IF(OR($B32="",N$4=""),"",IF(UPPER(TRIM(JAWABAN!N32))=N$4,1,0))</f>
        <v>1</v>
      </c>
      <c r="O32" s="16" t="n">
        <f aca="false">IF(OR($B32="",O$4=""),"",IF(UPPER(TRIM(JAWABAN!O32))=O$4,1,0))</f>
        <v>1</v>
      </c>
      <c r="P32" s="16" t="n">
        <f aca="false">IF(OR($B32="",P$4=""),"",IF(UPPER(TRIM(JAWABAN!P32))=P$4,1,0))</f>
        <v>1</v>
      </c>
      <c r="Q32" s="16" t="n">
        <f aca="false">IF(OR($B32="",Q$4=""),"",IF(UPPER(TRIM(JAWABAN!Q32))=Q$4,1,0))</f>
        <v>0</v>
      </c>
      <c r="R32" s="16" t="n">
        <f aca="false">IF(OR($B32="",R$4=""),"",IF(UPPER(TRIM(JAWABAN!R32))=R$4,1,0))</f>
        <v>0</v>
      </c>
      <c r="S32" s="16" t="n">
        <f aca="false">IF(OR($B32="",S$4=""),"",IF(UPPER(TRIM(JAWABAN!S32))=S$4,1,0))</f>
        <v>1</v>
      </c>
      <c r="T32" s="16" t="n">
        <f aca="false">IF(OR($B32="",T$4=""),"",IF(UPPER(TRIM(JAWABAN!T32))=T$4,1,0))</f>
        <v>1</v>
      </c>
      <c r="U32" s="16" t="n">
        <f aca="false">IF(OR($B32="",U$4=""),"",IF(UPPER(TRIM(JAWABAN!U32))=U$4,1,0))</f>
        <v>0</v>
      </c>
      <c r="V32" s="16" t="n">
        <f aca="false">IF(OR($B32="",V$4=""),"",IF(UPPER(TRIM(JAWABAN!V32))=V$4,1,0))</f>
        <v>0</v>
      </c>
      <c r="W32" s="16" t="n">
        <f aca="false">IF(OR($B32="",W$4=""),"",IF(UPPER(TRIM(JAWABAN!W32))=W$4,1,0))</f>
        <v>1</v>
      </c>
      <c r="X32" s="16" t="n">
        <f aca="false">IF(OR($B32="",X$4=""),"",IF(UPPER(TRIM(JAWABAN!X32))=X$4,1,0))</f>
        <v>1</v>
      </c>
      <c r="Y32" s="16" t="n">
        <f aca="false">IF(OR($B32="",Y$4=""),"",IF(UPPER(TRIM(JAWABAN!Y32))=Y$4,1,0))</f>
        <v>0</v>
      </c>
      <c r="Z32" s="16" t="n">
        <f aca="false">IF(OR($B32="",Z$4=""),"",IF(UPPER(TRIM(JAWABAN!Z32))=Z$4,1,0))</f>
        <v>1</v>
      </c>
      <c r="AA32" s="16" t="n">
        <f aca="false">IF(OR($B32="",AA$4=""),"",IF(UPPER(TRIM(JAWABAN!AA32))=AA$4,1,0))</f>
        <v>1</v>
      </c>
      <c r="AB32" s="16" t="n">
        <f aca="false">IF(OR($B32="",AB$4=""),"",IF(UPPER(TRIM(JAWABAN!AB32))=AB$4,1,0))</f>
        <v>0</v>
      </c>
      <c r="AC32" s="16" t="n">
        <f aca="false">IF(OR($B32="",AC$4=""),"",IF(UPPER(TRIM(JAWABAN!AC32))=AC$4,1,0))</f>
        <v>1</v>
      </c>
      <c r="AD32" s="16" t="n">
        <f aca="false">IF(OR($B32="",AD$4=""),"",IF(UPPER(TRIM(JAWABAN!AD32))=AD$4,1,0))</f>
        <v>1</v>
      </c>
      <c r="AE32" s="16" t="n">
        <f aca="false">IF(OR($B32="",AE$4=""),"",IF(UPPER(TRIM(JAWABAN!AE32))=AE$4,1,0))</f>
        <v>0</v>
      </c>
      <c r="AF32" s="16" t="n">
        <f aca="false">IF(OR($B32="",AF$4=""),"",IF(UPPER(TRIM(JAWABAN!AF32))=AF$4,1,0))</f>
        <v>0</v>
      </c>
      <c r="AG32" s="16" t="n">
        <f aca="false">IF(OR($B32="",AG$4=""),"",IF(UPPER(TRIM(JAWABAN!AG32))=AG$4,1,0))</f>
        <v>1</v>
      </c>
      <c r="AH32" s="16" t="n">
        <f aca="false">IF(OR($B32="",AH$4=""),"",IF(UPPER(TRIM(JAWABAN!AH32))=AH$4,1,0))</f>
        <v>1</v>
      </c>
      <c r="AI32" s="16" t="n">
        <f aca="false">IF(OR($B32="",AI$4=""),"",IF(UPPER(TRIM(JAWABAN!AI32))=AI$4,1,0))</f>
        <v>1</v>
      </c>
      <c r="AJ32" s="16" t="n">
        <f aca="false">IF(OR($B32="",AJ$4=""),"",IF(UPPER(TRIM(JAWABAN!AJ32))=AJ$4,1,0))</f>
        <v>1</v>
      </c>
      <c r="AK32" s="16" t="n">
        <f aca="false">IF(OR($B32="",AK$4=""),"",IF(UPPER(TRIM(JAWABAN!AK32))=AK$4,1,0))</f>
        <v>1</v>
      </c>
      <c r="AL32" s="16" t="n">
        <f aca="false">IF(OR($B32="",AL$4=""),"",IF(UPPER(TRIM(JAWABAN!AL32))=AL$4,1,0))</f>
        <v>1</v>
      </c>
      <c r="AM32" s="16" t="n">
        <f aca="false">IF(OR($B32="",AM$4=""),"",IF(UPPER(TRIM(JAWABAN!AM32))=AM$4,1,0))</f>
        <v>0</v>
      </c>
      <c r="AN32" s="16" t="n">
        <f aca="false">IF(OR($B32="",AN$4=""),"",IF(UPPER(TRIM(JAWABAN!AN32))=AN$4,1,0))</f>
        <v>0</v>
      </c>
      <c r="AO32" s="16" t="n">
        <f aca="false">IF(OR($B32="",AO$4=""),"",IF(UPPER(TRIM(JAWABAN!AO32))=AO$4,1,0))</f>
        <v>0</v>
      </c>
      <c r="AP32" s="16" t="n">
        <f aca="false">IF(OR($B32="",AP$4=""),"",IF(UPPER(TRIM(JAWABAN!AP32))=AP$4,1,0))</f>
        <v>0</v>
      </c>
      <c r="AQ32" s="16" t="n">
        <f aca="false">IF(OR($B32="",AQ$4=""),"",IF(UPPER(TRIM(JAWABAN!AQ32))=AQ$4,1,0))</f>
        <v>0</v>
      </c>
      <c r="AR32" s="16" t="n">
        <f aca="false">IF(OR($B32="",AR$4=""),"",IF(UPPER(TRIM(JAWABAN!AR32))=AR$4,1,0))</f>
        <v>1</v>
      </c>
      <c r="AS32" s="30" t="n">
        <f aca="false">IF($B32="","",SUM(E32:AR32))</f>
        <v>24</v>
      </c>
      <c r="AT32" s="31" t="n">
        <f aca="false">IF(AS32="","",IFERROR(ROUND(AS32/K_SOAL*100,2),""))</f>
        <v>60</v>
      </c>
      <c r="AU32" s="16" t="str">
        <f aca="false">IF(AT32="","",IF(AT32&gt;=NILAI_KKM,"Tuntas","Belum tuntas"))</f>
        <v>Belum tuntas</v>
      </c>
      <c r="AV32" s="32" t="n">
        <f aca="false">IF(AS32="","",AS32+(1000-ROW())/100000)</f>
        <v>24.00968</v>
      </c>
      <c r="AW32" s="33" t="n">
        <f aca="false">IF(AV32="","",RANK(AV32,$AV$6:$AV$55))</f>
        <v>15</v>
      </c>
      <c r="AX32" s="30" t="n">
        <f aca="false">IF(AS32="","",RANK(AS32,$AS$6:$AS$55))</f>
        <v>14</v>
      </c>
      <c r="AY32" s="16" t="str">
        <f aca="false">IF(AW32="","",IF(AW32&lt;=N_GRUP,"Atas",IF(AW32&gt;N_SISWA-N_GRUP,"Bawah","Tengah")))</f>
        <v>Tengah</v>
      </c>
    </row>
    <row r="33" customFormat="false" ht="15" hidden="false" customHeight="true" outlineLevel="0" collapsed="false">
      <c r="A33" s="16" t="n">
        <v>28</v>
      </c>
      <c r="B33" s="20" t="str">
        <f aca="false">IF(JAWABAN!B33="","",JAWABAN!B33)</f>
        <v>SISWA 29</v>
      </c>
      <c r="C33" s="20" t="str">
        <f aca="false">IF(JAWABAN!C33="","",JAWABAN!C33)</f>
        <v>IX G</v>
      </c>
      <c r="D33" s="29" t="str">
        <f aca="false">IF(JAWABAN!D33="","",JAWABAN!D33)</f>
        <v>012303</v>
      </c>
      <c r="E33" s="16" t="n">
        <f aca="false">IF(OR($B33="",E$4=""),"",IF(UPPER(TRIM(JAWABAN!E33))=E$4,1,0))</f>
        <v>1</v>
      </c>
      <c r="F33" s="16" t="n">
        <f aca="false">IF(OR($B33="",F$4=""),"",IF(UPPER(TRIM(JAWABAN!F33))=F$4,1,0))</f>
        <v>1</v>
      </c>
      <c r="G33" s="16" t="n">
        <f aca="false">IF(OR($B33="",G$4=""),"",IF(UPPER(TRIM(JAWABAN!G33))=G$4,1,0))</f>
        <v>1</v>
      </c>
      <c r="H33" s="16" t="n">
        <f aca="false">IF(OR($B33="",H$4=""),"",IF(UPPER(TRIM(JAWABAN!H33))=H$4,1,0))</f>
        <v>0</v>
      </c>
      <c r="I33" s="16" t="n">
        <f aca="false">IF(OR($B33="",I$4=""),"",IF(UPPER(TRIM(JAWABAN!I33))=I$4,1,0))</f>
        <v>1</v>
      </c>
      <c r="J33" s="16" t="n">
        <f aca="false">IF(OR($B33="",J$4=""),"",IF(UPPER(TRIM(JAWABAN!J33))=J$4,1,0))</f>
        <v>1</v>
      </c>
      <c r="K33" s="16" t="n">
        <f aca="false">IF(OR($B33="",K$4=""),"",IF(UPPER(TRIM(JAWABAN!K33))=K$4,1,0))</f>
        <v>0</v>
      </c>
      <c r="L33" s="16" t="n">
        <f aca="false">IF(OR($B33="",L$4=""),"",IF(UPPER(TRIM(JAWABAN!L33))=L$4,1,0))</f>
        <v>1</v>
      </c>
      <c r="M33" s="16" t="n">
        <f aca="false">IF(OR($B33="",M$4=""),"",IF(UPPER(TRIM(JAWABAN!M33))=M$4,1,0))</f>
        <v>1</v>
      </c>
      <c r="N33" s="16" t="n">
        <f aca="false">IF(OR($B33="",N$4=""),"",IF(UPPER(TRIM(JAWABAN!N33))=N$4,1,0))</f>
        <v>0</v>
      </c>
      <c r="O33" s="16" t="n">
        <f aca="false">IF(OR($B33="",O$4=""),"",IF(UPPER(TRIM(JAWABAN!O33))=O$4,1,0))</f>
        <v>0</v>
      </c>
      <c r="P33" s="16" t="n">
        <f aca="false">IF(OR($B33="",P$4=""),"",IF(UPPER(TRIM(JAWABAN!P33))=P$4,1,0))</f>
        <v>1</v>
      </c>
      <c r="Q33" s="16" t="n">
        <f aca="false">IF(OR($B33="",Q$4=""),"",IF(UPPER(TRIM(JAWABAN!Q33))=Q$4,1,0))</f>
        <v>0</v>
      </c>
      <c r="R33" s="16" t="n">
        <f aca="false">IF(OR($B33="",R$4=""),"",IF(UPPER(TRIM(JAWABAN!R33))=R$4,1,0))</f>
        <v>1</v>
      </c>
      <c r="S33" s="16" t="n">
        <f aca="false">IF(OR($B33="",S$4=""),"",IF(UPPER(TRIM(JAWABAN!S33))=S$4,1,0))</f>
        <v>1</v>
      </c>
      <c r="T33" s="16" t="n">
        <f aca="false">IF(OR($B33="",T$4=""),"",IF(UPPER(TRIM(JAWABAN!T33))=T$4,1,0))</f>
        <v>1</v>
      </c>
      <c r="U33" s="16" t="n">
        <f aca="false">IF(OR($B33="",U$4=""),"",IF(UPPER(TRIM(JAWABAN!U33))=U$4,1,0))</f>
        <v>0</v>
      </c>
      <c r="V33" s="16" t="n">
        <f aca="false">IF(OR($B33="",V$4=""),"",IF(UPPER(TRIM(JAWABAN!V33))=V$4,1,0))</f>
        <v>0</v>
      </c>
      <c r="W33" s="16" t="n">
        <f aca="false">IF(OR($B33="",W$4=""),"",IF(UPPER(TRIM(JAWABAN!W33))=W$4,1,0))</f>
        <v>0</v>
      </c>
      <c r="X33" s="16" t="n">
        <f aca="false">IF(OR($B33="",X$4=""),"",IF(UPPER(TRIM(JAWABAN!X33))=X$4,1,0))</f>
        <v>1</v>
      </c>
      <c r="Y33" s="16" t="n">
        <f aca="false">IF(OR($B33="",Y$4=""),"",IF(UPPER(TRIM(JAWABAN!Y33))=Y$4,1,0))</f>
        <v>1</v>
      </c>
      <c r="Z33" s="16" t="n">
        <f aca="false">IF(OR($B33="",Z$4=""),"",IF(UPPER(TRIM(JAWABAN!Z33))=Z$4,1,0))</f>
        <v>1</v>
      </c>
      <c r="AA33" s="16" t="n">
        <f aca="false">IF(OR($B33="",AA$4=""),"",IF(UPPER(TRIM(JAWABAN!AA33))=AA$4,1,0))</f>
        <v>0</v>
      </c>
      <c r="AB33" s="16" t="n">
        <f aca="false">IF(OR($B33="",AB$4=""),"",IF(UPPER(TRIM(JAWABAN!AB33))=AB$4,1,0))</f>
        <v>1</v>
      </c>
      <c r="AC33" s="16" t="n">
        <f aca="false">IF(OR($B33="",AC$4=""),"",IF(UPPER(TRIM(JAWABAN!AC33))=AC$4,1,0))</f>
        <v>1</v>
      </c>
      <c r="AD33" s="16" t="n">
        <f aca="false">IF(OR($B33="",AD$4=""),"",IF(UPPER(TRIM(JAWABAN!AD33))=AD$4,1,0))</f>
        <v>1</v>
      </c>
      <c r="AE33" s="16" t="n">
        <f aca="false">IF(OR($B33="",AE$4=""),"",IF(UPPER(TRIM(JAWABAN!AE33))=AE$4,1,0))</f>
        <v>1</v>
      </c>
      <c r="AF33" s="16" t="n">
        <f aca="false">IF(OR($B33="",AF$4=""),"",IF(UPPER(TRIM(JAWABAN!AF33))=AF$4,1,0))</f>
        <v>1</v>
      </c>
      <c r="AG33" s="16" t="n">
        <f aca="false">IF(OR($B33="",AG$4=""),"",IF(UPPER(TRIM(JAWABAN!AG33))=AG$4,1,0))</f>
        <v>0</v>
      </c>
      <c r="AH33" s="16" t="n">
        <f aca="false">IF(OR($B33="",AH$4=""),"",IF(UPPER(TRIM(JAWABAN!AH33))=AH$4,1,0))</f>
        <v>0</v>
      </c>
      <c r="AI33" s="16" t="n">
        <f aca="false">IF(OR($B33="",AI$4=""),"",IF(UPPER(TRIM(JAWABAN!AI33))=AI$4,1,0))</f>
        <v>1</v>
      </c>
      <c r="AJ33" s="16" t="n">
        <f aca="false">IF(OR($B33="",AJ$4=""),"",IF(UPPER(TRIM(JAWABAN!AJ33))=AJ$4,1,0))</f>
        <v>1</v>
      </c>
      <c r="AK33" s="16" t="n">
        <f aca="false">IF(OR($B33="",AK$4=""),"",IF(UPPER(TRIM(JAWABAN!AK33))=AK$4,1,0))</f>
        <v>1</v>
      </c>
      <c r="AL33" s="16" t="n">
        <f aca="false">IF(OR($B33="",AL$4=""),"",IF(UPPER(TRIM(JAWABAN!AL33))=AL$4,1,0))</f>
        <v>0</v>
      </c>
      <c r="AM33" s="16" t="n">
        <f aca="false">IF(OR($B33="",AM$4=""),"",IF(UPPER(TRIM(JAWABAN!AM33))=AM$4,1,0))</f>
        <v>1</v>
      </c>
      <c r="AN33" s="16" t="n">
        <f aca="false">IF(OR($B33="",AN$4=""),"",IF(UPPER(TRIM(JAWABAN!AN33))=AN$4,1,0))</f>
        <v>0</v>
      </c>
      <c r="AO33" s="16" t="n">
        <f aca="false">IF(OR($B33="",AO$4=""),"",IF(UPPER(TRIM(JAWABAN!AO33))=AO$4,1,0))</f>
        <v>0</v>
      </c>
      <c r="AP33" s="16" t="n">
        <f aca="false">IF(OR($B33="",AP$4=""),"",IF(UPPER(TRIM(JAWABAN!AP33))=AP$4,1,0))</f>
        <v>1</v>
      </c>
      <c r="AQ33" s="16" t="n">
        <f aca="false">IF(OR($B33="",AQ$4=""),"",IF(UPPER(TRIM(JAWABAN!AQ33))=AQ$4,1,0))</f>
        <v>1</v>
      </c>
      <c r="AR33" s="16" t="n">
        <f aca="false">IF(OR($B33="",AR$4=""),"",IF(UPPER(TRIM(JAWABAN!AR33))=AR$4,1,0))</f>
        <v>1</v>
      </c>
      <c r="AS33" s="30" t="n">
        <f aca="false">IF($B33="","",SUM(E33:AR33))</f>
        <v>26</v>
      </c>
      <c r="AT33" s="31" t="n">
        <f aca="false">IF(AS33="","",IFERROR(ROUND(AS33/K_SOAL*100,2),""))</f>
        <v>65</v>
      </c>
      <c r="AU33" s="16" t="str">
        <f aca="false">IF(AT33="","",IF(AT33&gt;=NILAI_KKM,"Tuntas","Belum tuntas"))</f>
        <v>Belum tuntas</v>
      </c>
      <c r="AV33" s="32" t="n">
        <f aca="false">IF(AS33="","",AS33+(1000-ROW())/100000)</f>
        <v>26.00967</v>
      </c>
      <c r="AW33" s="33" t="n">
        <f aca="false">IF(AV33="","",RANK(AV33,$AV$6:$AV$55))</f>
        <v>12</v>
      </c>
      <c r="AX33" s="30" t="n">
        <f aca="false">IF(AS33="","",RANK(AS33,$AS$6:$AS$55))</f>
        <v>12</v>
      </c>
      <c r="AY33" s="16" t="str">
        <f aca="false">IF(AW33="","",IF(AW33&lt;=N_GRUP,"Atas",IF(AW33&gt;N_SISWA-N_GRUP,"Bawah","Tengah")))</f>
        <v>Tengah</v>
      </c>
    </row>
    <row r="34" customFormat="false" ht="15" hidden="false" customHeight="true" outlineLevel="0" collapsed="false">
      <c r="A34" s="16" t="n">
        <v>29</v>
      </c>
      <c r="B34" s="20" t="str">
        <f aca="false">IF(JAWABAN!B34="","",JAWABAN!B34)</f>
        <v>SISWA 30</v>
      </c>
      <c r="C34" s="20" t="str">
        <f aca="false">IF(JAWABAN!C34="","",JAWABAN!C34)</f>
        <v>IX G</v>
      </c>
      <c r="D34" s="29" t="str">
        <f aca="false">IF(JAWABAN!D34="","",JAWABAN!D34)</f>
        <v>012302</v>
      </c>
      <c r="E34" s="16" t="n">
        <f aca="false">IF(OR($B34="",E$4=""),"",IF(UPPER(TRIM(JAWABAN!E34))=E$4,1,0))</f>
        <v>1</v>
      </c>
      <c r="F34" s="16" t="n">
        <f aca="false">IF(OR($B34="",F$4=""),"",IF(UPPER(TRIM(JAWABAN!F34))=F$4,1,0))</f>
        <v>1</v>
      </c>
      <c r="G34" s="16" t="n">
        <f aca="false">IF(OR($B34="",G$4=""),"",IF(UPPER(TRIM(JAWABAN!G34))=G$4,1,0))</f>
        <v>1</v>
      </c>
      <c r="H34" s="16" t="n">
        <f aca="false">IF(OR($B34="",H$4=""),"",IF(UPPER(TRIM(JAWABAN!H34))=H$4,1,0))</f>
        <v>1</v>
      </c>
      <c r="I34" s="16" t="n">
        <f aca="false">IF(OR($B34="",I$4=""),"",IF(UPPER(TRIM(JAWABAN!I34))=I$4,1,0))</f>
        <v>0</v>
      </c>
      <c r="J34" s="16" t="n">
        <f aca="false">IF(OR($B34="",J$4=""),"",IF(UPPER(TRIM(JAWABAN!J34))=J$4,1,0))</f>
        <v>0</v>
      </c>
      <c r="K34" s="16" t="n">
        <f aca="false">IF(OR($B34="",K$4=""),"",IF(UPPER(TRIM(JAWABAN!K34))=K$4,1,0))</f>
        <v>0</v>
      </c>
      <c r="L34" s="16" t="n">
        <f aca="false">IF(OR($B34="",L$4=""),"",IF(UPPER(TRIM(JAWABAN!L34))=L$4,1,0))</f>
        <v>1</v>
      </c>
      <c r="M34" s="16" t="n">
        <f aca="false">IF(OR($B34="",M$4=""),"",IF(UPPER(TRIM(JAWABAN!M34))=M$4,1,0))</f>
        <v>1</v>
      </c>
      <c r="N34" s="16" t="n">
        <f aca="false">IF(OR($B34="",N$4=""),"",IF(UPPER(TRIM(JAWABAN!N34))=N$4,1,0))</f>
        <v>0</v>
      </c>
      <c r="O34" s="16" t="n">
        <f aca="false">IF(OR($B34="",O$4=""),"",IF(UPPER(TRIM(JAWABAN!O34))=O$4,1,0))</f>
        <v>0</v>
      </c>
      <c r="P34" s="16" t="n">
        <f aca="false">IF(OR($B34="",P$4=""),"",IF(UPPER(TRIM(JAWABAN!P34))=P$4,1,0))</f>
        <v>0</v>
      </c>
      <c r="Q34" s="16" t="n">
        <f aca="false">IF(OR($B34="",Q$4=""),"",IF(UPPER(TRIM(JAWABAN!Q34))=Q$4,1,0))</f>
        <v>1</v>
      </c>
      <c r="R34" s="16" t="n">
        <f aca="false">IF(OR($B34="",R$4=""),"",IF(UPPER(TRIM(JAWABAN!R34))=R$4,1,0))</f>
        <v>0</v>
      </c>
      <c r="S34" s="16" t="n">
        <f aca="false">IF(OR($B34="",S$4=""),"",IF(UPPER(TRIM(JAWABAN!S34))=S$4,1,0))</f>
        <v>1</v>
      </c>
      <c r="T34" s="16" t="n">
        <f aca="false">IF(OR($B34="",T$4=""),"",IF(UPPER(TRIM(JAWABAN!T34))=T$4,1,0))</f>
        <v>1</v>
      </c>
      <c r="U34" s="16" t="n">
        <f aca="false">IF(OR($B34="",U$4=""),"",IF(UPPER(TRIM(JAWABAN!U34))=U$4,1,0))</f>
        <v>0</v>
      </c>
      <c r="V34" s="16" t="n">
        <f aca="false">IF(OR($B34="",V$4=""),"",IF(UPPER(TRIM(JAWABAN!V34))=V$4,1,0))</f>
        <v>0</v>
      </c>
      <c r="W34" s="16" t="n">
        <f aca="false">IF(OR($B34="",W$4=""),"",IF(UPPER(TRIM(JAWABAN!W34))=W$4,1,0))</f>
        <v>1</v>
      </c>
      <c r="X34" s="16" t="n">
        <f aca="false">IF(OR($B34="",X$4=""),"",IF(UPPER(TRIM(JAWABAN!X34))=X$4,1,0))</f>
        <v>1</v>
      </c>
      <c r="Y34" s="16" t="n">
        <f aca="false">IF(OR($B34="",Y$4=""),"",IF(UPPER(TRIM(JAWABAN!Y34))=Y$4,1,0))</f>
        <v>1</v>
      </c>
      <c r="Z34" s="16" t="n">
        <f aca="false">IF(OR($B34="",Z$4=""),"",IF(UPPER(TRIM(JAWABAN!Z34))=Z$4,1,0))</f>
        <v>1</v>
      </c>
      <c r="AA34" s="16" t="n">
        <f aca="false">IF(OR($B34="",AA$4=""),"",IF(UPPER(TRIM(JAWABAN!AA34))=AA$4,1,0))</f>
        <v>1</v>
      </c>
      <c r="AB34" s="16" t="n">
        <f aca="false">IF(OR($B34="",AB$4=""),"",IF(UPPER(TRIM(JAWABAN!AB34))=AB$4,1,0))</f>
        <v>1</v>
      </c>
      <c r="AC34" s="16" t="n">
        <f aca="false">IF(OR($B34="",AC$4=""),"",IF(UPPER(TRIM(JAWABAN!AC34))=AC$4,1,0))</f>
        <v>1</v>
      </c>
      <c r="AD34" s="16" t="n">
        <f aca="false">IF(OR($B34="",AD$4=""),"",IF(UPPER(TRIM(JAWABAN!AD34))=AD$4,1,0))</f>
        <v>1</v>
      </c>
      <c r="AE34" s="16" t="n">
        <f aca="false">IF(OR($B34="",AE$4=""),"",IF(UPPER(TRIM(JAWABAN!AE34))=AE$4,1,0))</f>
        <v>0</v>
      </c>
      <c r="AF34" s="16" t="n">
        <f aca="false">IF(OR($B34="",AF$4=""),"",IF(UPPER(TRIM(JAWABAN!AF34))=AF$4,1,0))</f>
        <v>0</v>
      </c>
      <c r="AG34" s="16" t="n">
        <f aca="false">IF(OR($B34="",AG$4=""),"",IF(UPPER(TRIM(JAWABAN!AG34))=AG$4,1,0))</f>
        <v>0</v>
      </c>
      <c r="AH34" s="16" t="n">
        <f aca="false">IF(OR($B34="",AH$4=""),"",IF(UPPER(TRIM(JAWABAN!AH34))=AH$4,1,0))</f>
        <v>0</v>
      </c>
      <c r="AI34" s="16" t="n">
        <f aca="false">IF(OR($B34="",AI$4=""),"",IF(UPPER(TRIM(JAWABAN!AI34))=AI$4,1,0))</f>
        <v>1</v>
      </c>
      <c r="AJ34" s="16" t="n">
        <f aca="false">IF(OR($B34="",AJ$4=""),"",IF(UPPER(TRIM(JAWABAN!AJ34))=AJ$4,1,0))</f>
        <v>1</v>
      </c>
      <c r="AK34" s="16" t="n">
        <f aca="false">IF(OR($B34="",AK$4=""),"",IF(UPPER(TRIM(JAWABAN!AK34))=AK$4,1,0))</f>
        <v>0</v>
      </c>
      <c r="AL34" s="16" t="n">
        <f aca="false">IF(OR($B34="",AL$4=""),"",IF(UPPER(TRIM(JAWABAN!AL34))=AL$4,1,0))</f>
        <v>1</v>
      </c>
      <c r="AM34" s="16" t="n">
        <f aca="false">IF(OR($B34="",AM$4=""),"",IF(UPPER(TRIM(JAWABAN!AM34))=AM$4,1,0))</f>
        <v>1</v>
      </c>
      <c r="AN34" s="16" t="n">
        <f aca="false">IF(OR($B34="",AN$4=""),"",IF(UPPER(TRIM(JAWABAN!AN34))=AN$4,1,0))</f>
        <v>0</v>
      </c>
      <c r="AO34" s="16" t="n">
        <f aca="false">IF(OR($B34="",AO$4=""),"",IF(UPPER(TRIM(JAWABAN!AO34))=AO$4,1,0))</f>
        <v>0</v>
      </c>
      <c r="AP34" s="16" t="n">
        <f aca="false">IF(OR($B34="",AP$4=""),"",IF(UPPER(TRIM(JAWABAN!AP34))=AP$4,1,0))</f>
        <v>0</v>
      </c>
      <c r="AQ34" s="16" t="n">
        <f aca="false">IF(OR($B34="",AQ$4=""),"",IF(UPPER(TRIM(JAWABAN!AQ34))=AQ$4,1,0))</f>
        <v>0</v>
      </c>
      <c r="AR34" s="16" t="n">
        <f aca="false">IF(OR($B34="",AR$4=""),"",IF(UPPER(TRIM(JAWABAN!AR34))=AR$4,1,0))</f>
        <v>1</v>
      </c>
      <c r="AS34" s="30" t="n">
        <f aca="false">IF($B34="","",SUM(E34:AR34))</f>
        <v>22</v>
      </c>
      <c r="AT34" s="31" t="n">
        <f aca="false">IF(AS34="","",IFERROR(ROUND(AS34/K_SOAL*100,2),""))</f>
        <v>55</v>
      </c>
      <c r="AU34" s="16" t="str">
        <f aca="false">IF(AT34="","",IF(AT34&gt;=NILAI_KKM,"Tuntas","Belum tuntas"))</f>
        <v>Belum tuntas</v>
      </c>
      <c r="AV34" s="32" t="n">
        <f aca="false">IF(AS34="","",AS34+(1000-ROW())/100000)</f>
        <v>22.00966</v>
      </c>
      <c r="AW34" s="33" t="n">
        <f aca="false">IF(AV34="","",RANK(AV34,$AV$6:$AV$55))</f>
        <v>19</v>
      </c>
      <c r="AX34" s="30" t="n">
        <f aca="false">IF(AS34="","",RANK(AS34,$AS$6:$AS$55))</f>
        <v>19</v>
      </c>
      <c r="AY34" s="16" t="str">
        <f aca="false">IF(AW34="","",IF(AW34&lt;=N_GRUP,"Atas",IF(AW34&gt;N_SISWA-N_GRUP,"Bawah","Tengah")))</f>
        <v>Tengah</v>
      </c>
    </row>
    <row r="35" customFormat="false" ht="15" hidden="false" customHeight="true" outlineLevel="0" collapsed="false">
      <c r="A35" s="16" t="n">
        <v>30</v>
      </c>
      <c r="B35" s="20" t="str">
        <f aca="false">IF(JAWABAN!B35="","",JAWABAN!B35)</f>
        <v>SISWA 31</v>
      </c>
      <c r="C35" s="20" t="str">
        <f aca="false">IF(JAWABAN!C35="","",JAWABAN!C35)</f>
        <v>IX G</v>
      </c>
      <c r="D35" s="29" t="str">
        <f aca="false">IF(JAWABAN!D35="","",JAWABAN!D35)</f>
        <v>012301</v>
      </c>
      <c r="E35" s="16" t="n">
        <f aca="false">IF(OR($B35="",E$4=""),"",IF(UPPER(TRIM(JAWABAN!E35))=E$4,1,0))</f>
        <v>1</v>
      </c>
      <c r="F35" s="16" t="n">
        <f aca="false">IF(OR($B35="",F$4=""),"",IF(UPPER(TRIM(JAWABAN!F35))=F$4,1,0))</f>
        <v>1</v>
      </c>
      <c r="G35" s="16" t="n">
        <f aca="false">IF(OR($B35="",G$4=""),"",IF(UPPER(TRIM(JAWABAN!G35))=G$4,1,0))</f>
        <v>0</v>
      </c>
      <c r="H35" s="16" t="n">
        <f aca="false">IF(OR($B35="",H$4=""),"",IF(UPPER(TRIM(JAWABAN!H35))=H$4,1,0))</f>
        <v>0</v>
      </c>
      <c r="I35" s="16" t="n">
        <f aca="false">IF(OR($B35="",I$4=""),"",IF(UPPER(TRIM(JAWABAN!I35))=I$4,1,0))</f>
        <v>0</v>
      </c>
      <c r="J35" s="16" t="n">
        <f aca="false">IF(OR($B35="",J$4=""),"",IF(UPPER(TRIM(JAWABAN!J35))=J$4,1,0))</f>
        <v>0</v>
      </c>
      <c r="K35" s="16" t="n">
        <f aca="false">IF(OR($B35="",K$4=""),"",IF(UPPER(TRIM(JAWABAN!K35))=K$4,1,0))</f>
        <v>1</v>
      </c>
      <c r="L35" s="16" t="n">
        <f aca="false">IF(OR($B35="",L$4=""),"",IF(UPPER(TRIM(JAWABAN!L35))=L$4,1,0))</f>
        <v>1</v>
      </c>
      <c r="M35" s="16" t="n">
        <f aca="false">IF(OR($B35="",M$4=""),"",IF(UPPER(TRIM(JAWABAN!M35))=M$4,1,0))</f>
        <v>1</v>
      </c>
      <c r="N35" s="16" t="n">
        <f aca="false">IF(OR($B35="",N$4=""),"",IF(UPPER(TRIM(JAWABAN!N35))=N$4,1,0))</f>
        <v>0</v>
      </c>
      <c r="O35" s="16" t="n">
        <f aca="false">IF(OR($B35="",O$4=""),"",IF(UPPER(TRIM(JAWABAN!O35))=O$4,1,0))</f>
        <v>0</v>
      </c>
      <c r="P35" s="16" t="n">
        <f aca="false">IF(OR($B35="",P$4=""),"",IF(UPPER(TRIM(JAWABAN!P35))=P$4,1,0))</f>
        <v>1</v>
      </c>
      <c r="Q35" s="16" t="n">
        <f aca="false">IF(OR($B35="",Q$4=""),"",IF(UPPER(TRIM(JAWABAN!Q35))=Q$4,1,0))</f>
        <v>1</v>
      </c>
      <c r="R35" s="16" t="n">
        <f aca="false">IF(OR($B35="",R$4=""),"",IF(UPPER(TRIM(JAWABAN!R35))=R$4,1,0))</f>
        <v>0</v>
      </c>
      <c r="S35" s="16" t="n">
        <f aca="false">IF(OR($B35="",S$4=""),"",IF(UPPER(TRIM(JAWABAN!S35))=S$4,1,0))</f>
        <v>0</v>
      </c>
      <c r="T35" s="16" t="n">
        <f aca="false">IF(OR($B35="",T$4=""),"",IF(UPPER(TRIM(JAWABAN!T35))=T$4,1,0))</f>
        <v>0</v>
      </c>
      <c r="U35" s="16" t="n">
        <f aca="false">IF(OR($B35="",U$4=""),"",IF(UPPER(TRIM(JAWABAN!U35))=U$4,1,0))</f>
        <v>1</v>
      </c>
      <c r="V35" s="16" t="n">
        <f aca="false">IF(OR($B35="",V$4=""),"",IF(UPPER(TRIM(JAWABAN!V35))=V$4,1,0))</f>
        <v>1</v>
      </c>
      <c r="W35" s="16" t="n">
        <f aca="false">IF(OR($B35="",W$4=""),"",IF(UPPER(TRIM(JAWABAN!W35))=W$4,1,0))</f>
        <v>1</v>
      </c>
      <c r="X35" s="16" t="n">
        <f aca="false">IF(OR($B35="",X$4=""),"",IF(UPPER(TRIM(JAWABAN!X35))=X$4,1,0))</f>
        <v>1</v>
      </c>
      <c r="Y35" s="16" t="n">
        <f aca="false">IF(OR($B35="",Y$4=""),"",IF(UPPER(TRIM(JAWABAN!Y35))=Y$4,1,0))</f>
        <v>0</v>
      </c>
      <c r="Z35" s="16" t="n">
        <f aca="false">IF(OR($B35="",Z$4=""),"",IF(UPPER(TRIM(JAWABAN!Z35))=Z$4,1,0))</f>
        <v>0</v>
      </c>
      <c r="AA35" s="16" t="n">
        <f aca="false">IF(OR($B35="",AA$4=""),"",IF(UPPER(TRIM(JAWABAN!AA35))=AA$4,1,0))</f>
        <v>1</v>
      </c>
      <c r="AB35" s="16" t="n">
        <f aca="false">IF(OR($B35="",AB$4=""),"",IF(UPPER(TRIM(JAWABAN!AB35))=AB$4,1,0))</f>
        <v>1</v>
      </c>
      <c r="AC35" s="16" t="n">
        <f aca="false">IF(OR($B35="",AC$4=""),"",IF(UPPER(TRIM(JAWABAN!AC35))=AC$4,1,0))</f>
        <v>1</v>
      </c>
      <c r="AD35" s="16" t="n">
        <f aca="false">IF(OR($B35="",AD$4=""),"",IF(UPPER(TRIM(JAWABAN!AD35))=AD$4,1,0))</f>
        <v>0</v>
      </c>
      <c r="AE35" s="16" t="n">
        <f aca="false">IF(OR($B35="",AE$4=""),"",IF(UPPER(TRIM(JAWABAN!AE35))=AE$4,1,0))</f>
        <v>0</v>
      </c>
      <c r="AF35" s="16" t="n">
        <f aca="false">IF(OR($B35="",AF$4=""),"",IF(UPPER(TRIM(JAWABAN!AF35))=AF$4,1,0))</f>
        <v>0</v>
      </c>
      <c r="AG35" s="16" t="n">
        <f aca="false">IF(OR($B35="",AG$4=""),"",IF(UPPER(TRIM(JAWABAN!AG35))=AG$4,1,0))</f>
        <v>0</v>
      </c>
      <c r="AH35" s="16" t="n">
        <f aca="false">IF(OR($B35="",AH$4=""),"",IF(UPPER(TRIM(JAWABAN!AH35))=AH$4,1,0))</f>
        <v>0</v>
      </c>
      <c r="AI35" s="16" t="n">
        <f aca="false">IF(OR($B35="",AI$4=""),"",IF(UPPER(TRIM(JAWABAN!AI35))=AI$4,1,0))</f>
        <v>1</v>
      </c>
      <c r="AJ35" s="16" t="n">
        <f aca="false">IF(OR($B35="",AJ$4=""),"",IF(UPPER(TRIM(JAWABAN!AJ35))=AJ$4,1,0))</f>
        <v>1</v>
      </c>
      <c r="AK35" s="16" t="n">
        <f aca="false">IF(OR($B35="",AK$4=""),"",IF(UPPER(TRIM(JAWABAN!AK35))=AK$4,1,0))</f>
        <v>0</v>
      </c>
      <c r="AL35" s="16" t="n">
        <f aca="false">IF(OR($B35="",AL$4=""),"",IF(UPPER(TRIM(JAWABAN!AL35))=AL$4,1,0))</f>
        <v>0</v>
      </c>
      <c r="AM35" s="16" t="n">
        <f aca="false">IF(OR($B35="",AM$4=""),"",IF(UPPER(TRIM(JAWABAN!AM35))=AM$4,1,0))</f>
        <v>0</v>
      </c>
      <c r="AN35" s="16" t="n">
        <f aca="false">IF(OR($B35="",AN$4=""),"",IF(UPPER(TRIM(JAWABAN!AN35))=AN$4,1,0))</f>
        <v>1</v>
      </c>
      <c r="AO35" s="16" t="n">
        <f aca="false">IF(OR($B35="",AO$4=""),"",IF(UPPER(TRIM(JAWABAN!AO35))=AO$4,1,0))</f>
        <v>0</v>
      </c>
      <c r="AP35" s="16" t="n">
        <f aca="false">IF(OR($B35="",AP$4=""),"",IF(UPPER(TRIM(JAWABAN!AP35))=AP$4,1,0))</f>
        <v>1</v>
      </c>
      <c r="AQ35" s="16" t="n">
        <f aca="false">IF(OR($B35="",AQ$4=""),"",IF(UPPER(TRIM(JAWABAN!AQ35))=AQ$4,1,0))</f>
        <v>1</v>
      </c>
      <c r="AR35" s="16" t="n">
        <f aca="false">IF(OR($B35="",AR$4=""),"",IF(UPPER(TRIM(JAWABAN!AR35))=AR$4,1,0))</f>
        <v>0</v>
      </c>
      <c r="AS35" s="30" t="n">
        <f aca="false">IF($B35="","",SUM(E35:AR35))</f>
        <v>19</v>
      </c>
      <c r="AT35" s="31" t="n">
        <f aca="false">IF(AS35="","",IFERROR(ROUND(AS35/K_SOAL*100,2),""))</f>
        <v>47.5</v>
      </c>
      <c r="AU35" s="16" t="str">
        <f aca="false">IF(AT35="","",IF(AT35&gt;=NILAI_KKM,"Tuntas","Belum tuntas"))</f>
        <v>Belum tuntas</v>
      </c>
      <c r="AV35" s="32" t="n">
        <f aca="false">IF(AS35="","",AS35+(1000-ROW())/100000)</f>
        <v>19.00965</v>
      </c>
      <c r="AW35" s="33" t="n">
        <f aca="false">IF(AV35="","",RANK(AV35,$AV$6:$AV$55))</f>
        <v>25</v>
      </c>
      <c r="AX35" s="30" t="n">
        <f aca="false">IF(AS35="","",RANK(AS35,$AS$6:$AS$55))</f>
        <v>24</v>
      </c>
      <c r="AY35" s="16" t="str">
        <f aca="false">IF(AW35="","",IF(AW35&lt;=N_GRUP,"Atas",IF(AW35&gt;N_SISWA-N_GRUP,"Bawah","Tengah")))</f>
        <v>Bawah</v>
      </c>
    </row>
    <row r="36" customFormat="false" ht="15" hidden="false" customHeight="true" outlineLevel="0" collapsed="false">
      <c r="A36" s="16" t="n">
        <v>31</v>
      </c>
      <c r="B36" s="20" t="str">
        <f aca="false">IF(JAWABAN!B36="","",JAWABAN!B36)</f>
        <v>SISWA 32</v>
      </c>
      <c r="C36" s="20" t="str">
        <f aca="false">IF(JAWABAN!C36="","",JAWABAN!C36)</f>
        <v/>
      </c>
      <c r="D36" s="29" t="str">
        <f aca="false">IF(JAWABAN!D36="","",JAWABAN!D36)</f>
        <v>012300</v>
      </c>
      <c r="E36" s="16" t="n">
        <f aca="false">IF(OR($B36="",E$4=""),"",IF(UPPER(TRIM(JAWABAN!E36))=E$4,1,0))</f>
        <v>0</v>
      </c>
      <c r="F36" s="16" t="n">
        <f aca="false">IF(OR($B36="",F$4=""),"",IF(UPPER(TRIM(JAWABAN!F36))=F$4,1,0))</f>
        <v>1</v>
      </c>
      <c r="G36" s="16" t="n">
        <f aca="false">IF(OR($B36="",G$4=""),"",IF(UPPER(TRIM(JAWABAN!G36))=G$4,1,0))</f>
        <v>1</v>
      </c>
      <c r="H36" s="16" t="n">
        <f aca="false">IF(OR($B36="",H$4=""),"",IF(UPPER(TRIM(JAWABAN!H36))=H$4,1,0))</f>
        <v>1</v>
      </c>
      <c r="I36" s="16" t="n">
        <f aca="false">IF(OR($B36="",I$4=""),"",IF(UPPER(TRIM(JAWABAN!I36))=I$4,1,0))</f>
        <v>0</v>
      </c>
      <c r="J36" s="16" t="n">
        <f aca="false">IF(OR($B36="",J$4=""),"",IF(UPPER(TRIM(JAWABAN!J36))=J$4,1,0))</f>
        <v>1</v>
      </c>
      <c r="K36" s="16" t="n">
        <f aca="false">IF(OR($B36="",K$4=""),"",IF(UPPER(TRIM(JAWABAN!K36))=K$4,1,0))</f>
        <v>0</v>
      </c>
      <c r="L36" s="16" t="n">
        <f aca="false">IF(OR($B36="",L$4=""),"",IF(UPPER(TRIM(JAWABAN!L36))=L$4,1,0))</f>
        <v>1</v>
      </c>
      <c r="M36" s="16" t="n">
        <f aca="false">IF(OR($B36="",M$4=""),"",IF(UPPER(TRIM(JAWABAN!M36))=M$4,1,0))</f>
        <v>0</v>
      </c>
      <c r="N36" s="16" t="n">
        <f aca="false">IF(OR($B36="",N$4=""),"",IF(UPPER(TRIM(JAWABAN!N36))=N$4,1,0))</f>
        <v>1</v>
      </c>
      <c r="O36" s="16" t="n">
        <f aca="false">IF(OR($B36="",O$4=""),"",IF(UPPER(TRIM(JAWABAN!O36))=O$4,1,0))</f>
        <v>1</v>
      </c>
      <c r="P36" s="16" t="n">
        <f aca="false">IF(OR($B36="",P$4=""),"",IF(UPPER(TRIM(JAWABAN!P36))=P$4,1,0))</f>
        <v>0</v>
      </c>
      <c r="Q36" s="16" t="n">
        <f aca="false">IF(OR($B36="",Q$4=""),"",IF(UPPER(TRIM(JAWABAN!Q36))=Q$4,1,0))</f>
        <v>0</v>
      </c>
      <c r="R36" s="16" t="n">
        <f aca="false">IF(OR($B36="",R$4=""),"",IF(UPPER(TRIM(JAWABAN!R36))=R$4,1,0))</f>
        <v>1</v>
      </c>
      <c r="S36" s="16" t="n">
        <f aca="false">IF(OR($B36="",S$4=""),"",IF(UPPER(TRIM(JAWABAN!S36))=S$4,1,0))</f>
        <v>0</v>
      </c>
      <c r="T36" s="16" t="n">
        <f aca="false">IF(OR($B36="",T$4=""),"",IF(UPPER(TRIM(JAWABAN!T36))=T$4,1,0))</f>
        <v>0</v>
      </c>
      <c r="U36" s="16" t="n">
        <f aca="false">IF(OR($B36="",U$4=""),"",IF(UPPER(TRIM(JAWABAN!U36))=U$4,1,0))</f>
        <v>1</v>
      </c>
      <c r="V36" s="16" t="n">
        <f aca="false">IF(OR($B36="",V$4=""),"",IF(UPPER(TRIM(JAWABAN!V36))=V$4,1,0))</f>
        <v>0</v>
      </c>
      <c r="W36" s="16" t="n">
        <f aca="false">IF(OR($B36="",W$4=""),"",IF(UPPER(TRIM(JAWABAN!W36))=W$4,1,0))</f>
        <v>1</v>
      </c>
      <c r="X36" s="16" t="n">
        <f aca="false">IF(OR($B36="",X$4=""),"",IF(UPPER(TRIM(JAWABAN!X36))=X$4,1,0))</f>
        <v>1</v>
      </c>
      <c r="Y36" s="16" t="n">
        <f aca="false">IF(OR($B36="",Y$4=""),"",IF(UPPER(TRIM(JAWABAN!Y36))=Y$4,1,0))</f>
        <v>0</v>
      </c>
      <c r="Z36" s="16" t="n">
        <f aca="false">IF(OR($B36="",Z$4=""),"",IF(UPPER(TRIM(JAWABAN!Z36))=Z$4,1,0))</f>
        <v>0</v>
      </c>
      <c r="AA36" s="16" t="n">
        <f aca="false">IF(OR($B36="",AA$4=""),"",IF(UPPER(TRIM(JAWABAN!AA36))=AA$4,1,0))</f>
        <v>1</v>
      </c>
      <c r="AB36" s="16" t="n">
        <f aca="false">IF(OR($B36="",AB$4=""),"",IF(UPPER(TRIM(JAWABAN!AB36))=AB$4,1,0))</f>
        <v>1</v>
      </c>
      <c r="AC36" s="16" t="n">
        <f aca="false">IF(OR($B36="",AC$4=""),"",IF(UPPER(TRIM(JAWABAN!AC36))=AC$4,1,0))</f>
        <v>0</v>
      </c>
      <c r="AD36" s="16" t="n">
        <f aca="false">IF(OR($B36="",AD$4=""),"",IF(UPPER(TRIM(JAWABAN!AD36))=AD$4,1,0))</f>
        <v>0</v>
      </c>
      <c r="AE36" s="16" t="n">
        <f aca="false">IF(OR($B36="",AE$4=""),"",IF(UPPER(TRIM(JAWABAN!AE36))=AE$4,1,0))</f>
        <v>1</v>
      </c>
      <c r="AF36" s="16" t="n">
        <f aca="false">IF(OR($B36="",AF$4=""),"",IF(UPPER(TRIM(JAWABAN!AF36))=AF$4,1,0))</f>
        <v>1</v>
      </c>
      <c r="AG36" s="16" t="n">
        <f aca="false">IF(OR($B36="",AG$4=""),"",IF(UPPER(TRIM(JAWABAN!AG36))=AG$4,1,0))</f>
        <v>0</v>
      </c>
      <c r="AH36" s="16" t="n">
        <f aca="false">IF(OR($B36="",AH$4=""),"",IF(UPPER(TRIM(JAWABAN!AH36))=AH$4,1,0))</f>
        <v>0</v>
      </c>
      <c r="AI36" s="16" t="n">
        <f aca="false">IF(OR($B36="",AI$4=""),"",IF(UPPER(TRIM(JAWABAN!AI36))=AI$4,1,0))</f>
        <v>0</v>
      </c>
      <c r="AJ36" s="16" t="n">
        <f aca="false">IF(OR($B36="",AJ$4=""),"",IF(UPPER(TRIM(JAWABAN!AJ36))=AJ$4,1,0))</f>
        <v>1</v>
      </c>
      <c r="AK36" s="16" t="n">
        <f aca="false">IF(OR($B36="",AK$4=""),"",IF(UPPER(TRIM(JAWABAN!AK36))=AK$4,1,0))</f>
        <v>1</v>
      </c>
      <c r="AL36" s="16" t="n">
        <f aca="false">IF(OR($B36="",AL$4=""),"",IF(UPPER(TRIM(JAWABAN!AL36))=AL$4,1,0))</f>
        <v>1</v>
      </c>
      <c r="AM36" s="16" t="n">
        <f aca="false">IF(OR($B36="",AM$4=""),"",IF(UPPER(TRIM(JAWABAN!AM36))=AM$4,1,0))</f>
        <v>0</v>
      </c>
      <c r="AN36" s="16" t="n">
        <f aca="false">IF(OR($B36="",AN$4=""),"",IF(UPPER(TRIM(JAWABAN!AN36))=AN$4,1,0))</f>
        <v>0</v>
      </c>
      <c r="AO36" s="16" t="n">
        <f aca="false">IF(OR($B36="",AO$4=""),"",IF(UPPER(TRIM(JAWABAN!AO36))=AO$4,1,0))</f>
        <v>0</v>
      </c>
      <c r="AP36" s="16" t="n">
        <f aca="false">IF(OR($B36="",AP$4=""),"",IF(UPPER(TRIM(JAWABAN!AP36))=AP$4,1,0))</f>
        <v>1</v>
      </c>
      <c r="AQ36" s="16" t="n">
        <f aca="false">IF(OR($B36="",AQ$4=""),"",IF(UPPER(TRIM(JAWABAN!AQ36))=AQ$4,1,0))</f>
        <v>1</v>
      </c>
      <c r="AR36" s="16" t="n">
        <f aca="false">IF(OR($B36="",AR$4=""),"",IF(UPPER(TRIM(JAWABAN!AR36))=AR$4,1,0))</f>
        <v>0</v>
      </c>
      <c r="AS36" s="30" t="n">
        <f aca="false">IF($B36="","",SUM(E36:AR36))</f>
        <v>20</v>
      </c>
      <c r="AT36" s="31" t="n">
        <f aca="false">IF(AS36="","",IFERROR(ROUND(AS36/K_SOAL*100,2),""))</f>
        <v>50</v>
      </c>
      <c r="AU36" s="16" t="str">
        <f aca="false">IF(AT36="","",IF(AT36&gt;=NILAI_KKM,"Tuntas","Belum tuntas"))</f>
        <v>Belum tuntas</v>
      </c>
      <c r="AV36" s="32" t="n">
        <f aca="false">IF(AS36="","",AS36+(1000-ROW())/100000)</f>
        <v>20.00964</v>
      </c>
      <c r="AW36" s="33" t="n">
        <f aca="false">IF(AV36="","",RANK(AV36,$AV$6:$AV$55))</f>
        <v>23</v>
      </c>
      <c r="AX36" s="30" t="n">
        <f aca="false">IF(AS36="","",RANK(AS36,$AS$6:$AS$55))</f>
        <v>21</v>
      </c>
      <c r="AY36" s="16" t="str">
        <f aca="false">IF(AW36="","",IF(AW36&lt;=N_GRUP,"Atas",IF(AW36&gt;N_SISWA-N_GRUP,"Bawah","Tengah")))</f>
        <v>Tengah</v>
      </c>
    </row>
    <row r="37" customFormat="false" ht="15" hidden="false" customHeight="true" outlineLevel="0" collapsed="false">
      <c r="A37" s="16" t="n">
        <v>32</v>
      </c>
      <c r="B37" s="20" t="str">
        <f aca="false">IF(JAWABAN!B37="","",JAWABAN!B37)</f>
        <v/>
      </c>
      <c r="C37" s="20" t="str">
        <f aca="false">IF(JAWABAN!C37="","",JAWABAN!C37)</f>
        <v/>
      </c>
      <c r="D37" s="29" t="str">
        <f aca="false">IF(JAWABAN!D37="","",JAWABAN!D37)</f>
        <v/>
      </c>
      <c r="E37" s="16" t="str">
        <f aca="false">IF(OR($B37="",E$4=""),"",IF(UPPER(TRIM(JAWABAN!E37))=E$4,1,0))</f>
        <v/>
      </c>
      <c r="F37" s="16" t="str">
        <f aca="false">IF(OR($B37="",F$4=""),"",IF(UPPER(TRIM(JAWABAN!F37))=F$4,1,0))</f>
        <v/>
      </c>
      <c r="G37" s="16" t="str">
        <f aca="false">IF(OR($B37="",G$4=""),"",IF(UPPER(TRIM(JAWABAN!G37))=G$4,1,0))</f>
        <v/>
      </c>
      <c r="H37" s="16" t="str">
        <f aca="false">IF(OR($B37="",H$4=""),"",IF(UPPER(TRIM(JAWABAN!H37))=H$4,1,0))</f>
        <v/>
      </c>
      <c r="I37" s="16" t="str">
        <f aca="false">IF(OR($B37="",I$4=""),"",IF(UPPER(TRIM(JAWABAN!I37))=I$4,1,0))</f>
        <v/>
      </c>
      <c r="J37" s="16" t="str">
        <f aca="false">IF(OR($B37="",J$4=""),"",IF(UPPER(TRIM(JAWABAN!J37))=J$4,1,0))</f>
        <v/>
      </c>
      <c r="K37" s="16" t="str">
        <f aca="false">IF(OR($B37="",K$4=""),"",IF(UPPER(TRIM(JAWABAN!K37))=K$4,1,0))</f>
        <v/>
      </c>
      <c r="L37" s="16" t="str">
        <f aca="false">IF(OR($B37="",L$4=""),"",IF(UPPER(TRIM(JAWABAN!L37))=L$4,1,0))</f>
        <v/>
      </c>
      <c r="M37" s="16" t="str">
        <f aca="false">IF(OR($B37="",M$4=""),"",IF(UPPER(TRIM(JAWABAN!M37))=M$4,1,0))</f>
        <v/>
      </c>
      <c r="N37" s="16" t="str">
        <f aca="false">IF(OR($B37="",N$4=""),"",IF(UPPER(TRIM(JAWABAN!N37))=N$4,1,0))</f>
        <v/>
      </c>
      <c r="O37" s="16" t="str">
        <f aca="false">IF(OR($B37="",O$4=""),"",IF(UPPER(TRIM(JAWABAN!O37))=O$4,1,0))</f>
        <v/>
      </c>
      <c r="P37" s="16" t="str">
        <f aca="false">IF(OR($B37="",P$4=""),"",IF(UPPER(TRIM(JAWABAN!P37))=P$4,1,0))</f>
        <v/>
      </c>
      <c r="Q37" s="16" t="str">
        <f aca="false">IF(OR($B37="",Q$4=""),"",IF(UPPER(TRIM(JAWABAN!Q37))=Q$4,1,0))</f>
        <v/>
      </c>
      <c r="R37" s="16" t="str">
        <f aca="false">IF(OR($B37="",R$4=""),"",IF(UPPER(TRIM(JAWABAN!R37))=R$4,1,0))</f>
        <v/>
      </c>
      <c r="S37" s="16" t="str">
        <f aca="false">IF(OR($B37="",S$4=""),"",IF(UPPER(TRIM(JAWABAN!S37))=S$4,1,0))</f>
        <v/>
      </c>
      <c r="T37" s="16" t="str">
        <f aca="false">IF(OR($B37="",T$4=""),"",IF(UPPER(TRIM(JAWABAN!T37))=T$4,1,0))</f>
        <v/>
      </c>
      <c r="U37" s="16" t="str">
        <f aca="false">IF(OR($B37="",U$4=""),"",IF(UPPER(TRIM(JAWABAN!U37))=U$4,1,0))</f>
        <v/>
      </c>
      <c r="V37" s="16" t="str">
        <f aca="false">IF(OR($B37="",V$4=""),"",IF(UPPER(TRIM(JAWABAN!V37))=V$4,1,0))</f>
        <v/>
      </c>
      <c r="W37" s="16" t="str">
        <f aca="false">IF(OR($B37="",W$4=""),"",IF(UPPER(TRIM(JAWABAN!W37))=W$4,1,0))</f>
        <v/>
      </c>
      <c r="X37" s="16" t="str">
        <f aca="false">IF(OR($B37="",X$4=""),"",IF(UPPER(TRIM(JAWABAN!X37))=X$4,1,0))</f>
        <v/>
      </c>
      <c r="Y37" s="16" t="str">
        <f aca="false">IF(OR($B37="",Y$4=""),"",IF(UPPER(TRIM(JAWABAN!Y37))=Y$4,1,0))</f>
        <v/>
      </c>
      <c r="Z37" s="16" t="str">
        <f aca="false">IF(OR($B37="",Z$4=""),"",IF(UPPER(TRIM(JAWABAN!Z37))=Z$4,1,0))</f>
        <v/>
      </c>
      <c r="AA37" s="16" t="str">
        <f aca="false">IF(OR($B37="",AA$4=""),"",IF(UPPER(TRIM(JAWABAN!AA37))=AA$4,1,0))</f>
        <v/>
      </c>
      <c r="AB37" s="16" t="str">
        <f aca="false">IF(OR($B37="",AB$4=""),"",IF(UPPER(TRIM(JAWABAN!AB37))=AB$4,1,0))</f>
        <v/>
      </c>
      <c r="AC37" s="16" t="str">
        <f aca="false">IF(OR($B37="",AC$4=""),"",IF(UPPER(TRIM(JAWABAN!AC37))=AC$4,1,0))</f>
        <v/>
      </c>
      <c r="AD37" s="16" t="str">
        <f aca="false">IF(OR($B37="",AD$4=""),"",IF(UPPER(TRIM(JAWABAN!AD37))=AD$4,1,0))</f>
        <v/>
      </c>
      <c r="AE37" s="16" t="str">
        <f aca="false">IF(OR($B37="",AE$4=""),"",IF(UPPER(TRIM(JAWABAN!AE37))=AE$4,1,0))</f>
        <v/>
      </c>
      <c r="AF37" s="16" t="str">
        <f aca="false">IF(OR($B37="",AF$4=""),"",IF(UPPER(TRIM(JAWABAN!AF37))=AF$4,1,0))</f>
        <v/>
      </c>
      <c r="AG37" s="16" t="str">
        <f aca="false">IF(OR($B37="",AG$4=""),"",IF(UPPER(TRIM(JAWABAN!AG37))=AG$4,1,0))</f>
        <v/>
      </c>
      <c r="AH37" s="16" t="str">
        <f aca="false">IF(OR($B37="",AH$4=""),"",IF(UPPER(TRIM(JAWABAN!AH37))=AH$4,1,0))</f>
        <v/>
      </c>
      <c r="AI37" s="16" t="str">
        <f aca="false">IF(OR($B37="",AI$4=""),"",IF(UPPER(TRIM(JAWABAN!AI37))=AI$4,1,0))</f>
        <v/>
      </c>
      <c r="AJ37" s="16" t="str">
        <f aca="false">IF(OR($B37="",AJ$4=""),"",IF(UPPER(TRIM(JAWABAN!AJ37))=AJ$4,1,0))</f>
        <v/>
      </c>
      <c r="AK37" s="16" t="str">
        <f aca="false">IF(OR($B37="",AK$4=""),"",IF(UPPER(TRIM(JAWABAN!AK37))=AK$4,1,0))</f>
        <v/>
      </c>
      <c r="AL37" s="16" t="str">
        <f aca="false">IF(OR($B37="",AL$4=""),"",IF(UPPER(TRIM(JAWABAN!AL37))=AL$4,1,0))</f>
        <v/>
      </c>
      <c r="AM37" s="16" t="str">
        <f aca="false">IF(OR($B37="",AM$4=""),"",IF(UPPER(TRIM(JAWABAN!AM37))=AM$4,1,0))</f>
        <v/>
      </c>
      <c r="AN37" s="16" t="str">
        <f aca="false">IF(OR($B37="",AN$4=""),"",IF(UPPER(TRIM(JAWABAN!AN37))=AN$4,1,0))</f>
        <v/>
      </c>
      <c r="AO37" s="16" t="str">
        <f aca="false">IF(OR($B37="",AO$4=""),"",IF(UPPER(TRIM(JAWABAN!AO37))=AO$4,1,0))</f>
        <v/>
      </c>
      <c r="AP37" s="16" t="str">
        <f aca="false">IF(OR($B37="",AP$4=""),"",IF(UPPER(TRIM(JAWABAN!AP37))=AP$4,1,0))</f>
        <v/>
      </c>
      <c r="AQ37" s="16" t="str">
        <f aca="false">IF(OR($B37="",AQ$4=""),"",IF(UPPER(TRIM(JAWABAN!AQ37))=AQ$4,1,0))</f>
        <v/>
      </c>
      <c r="AR37" s="16" t="str">
        <f aca="false">IF(OR($B37="",AR$4=""),"",IF(UPPER(TRIM(JAWABAN!AR37))=AR$4,1,0))</f>
        <v/>
      </c>
      <c r="AS37" s="30" t="str">
        <f aca="false">IF($B37="","",SUM(E37:AR37))</f>
        <v/>
      </c>
      <c r="AT37" s="31" t="str">
        <f aca="false">IF(AS37="","",IFERROR(ROUND(AS37/K_SOAL*100,2),""))</f>
        <v/>
      </c>
      <c r="AU37" s="16" t="str">
        <f aca="false">IF(AT37="","",IF(AT37&gt;=NILAI_KKM,"Tuntas","Belum tuntas"))</f>
        <v/>
      </c>
      <c r="AV37" s="32" t="str">
        <f aca="false">IF(AS37="","",AS37+(1000-ROW())/100000)</f>
        <v/>
      </c>
      <c r="AW37" s="33" t="str">
        <f aca="false">IF(AV37="","",RANK(AV37,$AV$6:$AV$55))</f>
        <v/>
      </c>
      <c r="AX37" s="30" t="str">
        <f aca="false">IF(AS37="","",RANK(AS37,$AS$6:$AS$55))</f>
        <v/>
      </c>
      <c r="AY37" s="16" t="str">
        <f aca="false">IF(AW37="","",IF(AW37&lt;=N_GRUP,"Atas",IF(AW37&gt;N_SISWA-N_GRUP,"Bawah","Tengah")))</f>
        <v/>
      </c>
    </row>
    <row r="38" customFormat="false" ht="15" hidden="false" customHeight="true" outlineLevel="0" collapsed="false">
      <c r="A38" s="16" t="n">
        <v>33</v>
      </c>
      <c r="B38" s="20" t="str">
        <f aca="false">IF(JAWABAN!B38="","",JAWABAN!B38)</f>
        <v/>
      </c>
      <c r="C38" s="20" t="str">
        <f aca="false">IF(JAWABAN!C38="","",JAWABAN!C38)</f>
        <v/>
      </c>
      <c r="D38" s="29" t="str">
        <f aca="false">IF(JAWABAN!D38="","",JAWABAN!D38)</f>
        <v/>
      </c>
      <c r="E38" s="16" t="str">
        <f aca="false">IF(OR($B38="",E$4=""),"",IF(UPPER(TRIM(JAWABAN!E38))=E$4,1,0))</f>
        <v/>
      </c>
      <c r="F38" s="16" t="str">
        <f aca="false">IF(OR($B38="",F$4=""),"",IF(UPPER(TRIM(JAWABAN!F38))=F$4,1,0))</f>
        <v/>
      </c>
      <c r="G38" s="16" t="str">
        <f aca="false">IF(OR($B38="",G$4=""),"",IF(UPPER(TRIM(JAWABAN!G38))=G$4,1,0))</f>
        <v/>
      </c>
      <c r="H38" s="16" t="str">
        <f aca="false">IF(OR($B38="",H$4=""),"",IF(UPPER(TRIM(JAWABAN!H38))=H$4,1,0))</f>
        <v/>
      </c>
      <c r="I38" s="16" t="str">
        <f aca="false">IF(OR($B38="",I$4=""),"",IF(UPPER(TRIM(JAWABAN!I38))=I$4,1,0))</f>
        <v/>
      </c>
      <c r="J38" s="16" t="str">
        <f aca="false">IF(OR($B38="",J$4=""),"",IF(UPPER(TRIM(JAWABAN!J38))=J$4,1,0))</f>
        <v/>
      </c>
      <c r="K38" s="16" t="str">
        <f aca="false">IF(OR($B38="",K$4=""),"",IF(UPPER(TRIM(JAWABAN!K38))=K$4,1,0))</f>
        <v/>
      </c>
      <c r="L38" s="16" t="str">
        <f aca="false">IF(OR($B38="",L$4=""),"",IF(UPPER(TRIM(JAWABAN!L38))=L$4,1,0))</f>
        <v/>
      </c>
      <c r="M38" s="16" t="str">
        <f aca="false">IF(OR($B38="",M$4=""),"",IF(UPPER(TRIM(JAWABAN!M38))=M$4,1,0))</f>
        <v/>
      </c>
      <c r="N38" s="16" t="str">
        <f aca="false">IF(OR($B38="",N$4=""),"",IF(UPPER(TRIM(JAWABAN!N38))=N$4,1,0))</f>
        <v/>
      </c>
      <c r="O38" s="16" t="str">
        <f aca="false">IF(OR($B38="",O$4=""),"",IF(UPPER(TRIM(JAWABAN!O38))=O$4,1,0))</f>
        <v/>
      </c>
      <c r="P38" s="16" t="str">
        <f aca="false">IF(OR($B38="",P$4=""),"",IF(UPPER(TRIM(JAWABAN!P38))=P$4,1,0))</f>
        <v/>
      </c>
      <c r="Q38" s="16" t="str">
        <f aca="false">IF(OR($B38="",Q$4=""),"",IF(UPPER(TRIM(JAWABAN!Q38))=Q$4,1,0))</f>
        <v/>
      </c>
      <c r="R38" s="16" t="str">
        <f aca="false">IF(OR($B38="",R$4=""),"",IF(UPPER(TRIM(JAWABAN!R38))=R$4,1,0))</f>
        <v/>
      </c>
      <c r="S38" s="16" t="str">
        <f aca="false">IF(OR($B38="",S$4=""),"",IF(UPPER(TRIM(JAWABAN!S38))=S$4,1,0))</f>
        <v/>
      </c>
      <c r="T38" s="16" t="str">
        <f aca="false">IF(OR($B38="",T$4=""),"",IF(UPPER(TRIM(JAWABAN!T38))=T$4,1,0))</f>
        <v/>
      </c>
      <c r="U38" s="16" t="str">
        <f aca="false">IF(OR($B38="",U$4=""),"",IF(UPPER(TRIM(JAWABAN!U38))=U$4,1,0))</f>
        <v/>
      </c>
      <c r="V38" s="16" t="str">
        <f aca="false">IF(OR($B38="",V$4=""),"",IF(UPPER(TRIM(JAWABAN!V38))=V$4,1,0))</f>
        <v/>
      </c>
      <c r="W38" s="16" t="str">
        <f aca="false">IF(OR($B38="",W$4=""),"",IF(UPPER(TRIM(JAWABAN!W38))=W$4,1,0))</f>
        <v/>
      </c>
      <c r="X38" s="16" t="str">
        <f aca="false">IF(OR($B38="",X$4=""),"",IF(UPPER(TRIM(JAWABAN!X38))=X$4,1,0))</f>
        <v/>
      </c>
      <c r="Y38" s="16" t="str">
        <f aca="false">IF(OR($B38="",Y$4=""),"",IF(UPPER(TRIM(JAWABAN!Y38))=Y$4,1,0))</f>
        <v/>
      </c>
      <c r="Z38" s="16" t="str">
        <f aca="false">IF(OR($B38="",Z$4=""),"",IF(UPPER(TRIM(JAWABAN!Z38))=Z$4,1,0))</f>
        <v/>
      </c>
      <c r="AA38" s="16" t="str">
        <f aca="false">IF(OR($B38="",AA$4=""),"",IF(UPPER(TRIM(JAWABAN!AA38))=AA$4,1,0))</f>
        <v/>
      </c>
      <c r="AB38" s="16" t="str">
        <f aca="false">IF(OR($B38="",AB$4=""),"",IF(UPPER(TRIM(JAWABAN!AB38))=AB$4,1,0))</f>
        <v/>
      </c>
      <c r="AC38" s="16" t="str">
        <f aca="false">IF(OR($B38="",AC$4=""),"",IF(UPPER(TRIM(JAWABAN!AC38))=AC$4,1,0))</f>
        <v/>
      </c>
      <c r="AD38" s="16" t="str">
        <f aca="false">IF(OR($B38="",AD$4=""),"",IF(UPPER(TRIM(JAWABAN!AD38))=AD$4,1,0))</f>
        <v/>
      </c>
      <c r="AE38" s="16" t="str">
        <f aca="false">IF(OR($B38="",AE$4=""),"",IF(UPPER(TRIM(JAWABAN!AE38))=AE$4,1,0))</f>
        <v/>
      </c>
      <c r="AF38" s="16" t="str">
        <f aca="false">IF(OR($B38="",AF$4=""),"",IF(UPPER(TRIM(JAWABAN!AF38))=AF$4,1,0))</f>
        <v/>
      </c>
      <c r="AG38" s="16" t="str">
        <f aca="false">IF(OR($B38="",AG$4=""),"",IF(UPPER(TRIM(JAWABAN!AG38))=AG$4,1,0))</f>
        <v/>
      </c>
      <c r="AH38" s="16" t="str">
        <f aca="false">IF(OR($B38="",AH$4=""),"",IF(UPPER(TRIM(JAWABAN!AH38))=AH$4,1,0))</f>
        <v/>
      </c>
      <c r="AI38" s="16" t="str">
        <f aca="false">IF(OR($B38="",AI$4=""),"",IF(UPPER(TRIM(JAWABAN!AI38))=AI$4,1,0))</f>
        <v/>
      </c>
      <c r="AJ38" s="16" t="str">
        <f aca="false">IF(OR($B38="",AJ$4=""),"",IF(UPPER(TRIM(JAWABAN!AJ38))=AJ$4,1,0))</f>
        <v/>
      </c>
      <c r="AK38" s="16" t="str">
        <f aca="false">IF(OR($B38="",AK$4=""),"",IF(UPPER(TRIM(JAWABAN!AK38))=AK$4,1,0))</f>
        <v/>
      </c>
      <c r="AL38" s="16" t="str">
        <f aca="false">IF(OR($B38="",AL$4=""),"",IF(UPPER(TRIM(JAWABAN!AL38))=AL$4,1,0))</f>
        <v/>
      </c>
      <c r="AM38" s="16" t="str">
        <f aca="false">IF(OR($B38="",AM$4=""),"",IF(UPPER(TRIM(JAWABAN!AM38))=AM$4,1,0))</f>
        <v/>
      </c>
      <c r="AN38" s="16" t="str">
        <f aca="false">IF(OR($B38="",AN$4=""),"",IF(UPPER(TRIM(JAWABAN!AN38))=AN$4,1,0))</f>
        <v/>
      </c>
      <c r="AO38" s="16" t="str">
        <f aca="false">IF(OR($B38="",AO$4=""),"",IF(UPPER(TRIM(JAWABAN!AO38))=AO$4,1,0))</f>
        <v/>
      </c>
      <c r="AP38" s="16" t="str">
        <f aca="false">IF(OR($B38="",AP$4=""),"",IF(UPPER(TRIM(JAWABAN!AP38))=AP$4,1,0))</f>
        <v/>
      </c>
      <c r="AQ38" s="16" t="str">
        <f aca="false">IF(OR($B38="",AQ$4=""),"",IF(UPPER(TRIM(JAWABAN!AQ38))=AQ$4,1,0))</f>
        <v/>
      </c>
      <c r="AR38" s="16" t="str">
        <f aca="false">IF(OR($B38="",AR$4=""),"",IF(UPPER(TRIM(JAWABAN!AR38))=AR$4,1,0))</f>
        <v/>
      </c>
      <c r="AS38" s="30" t="str">
        <f aca="false">IF($B38="","",SUM(E38:AR38))</f>
        <v/>
      </c>
      <c r="AT38" s="31" t="str">
        <f aca="false">IF(AS38="","",IFERROR(ROUND(AS38/K_SOAL*100,2),""))</f>
        <v/>
      </c>
      <c r="AU38" s="16" t="str">
        <f aca="false">IF(AT38="","",IF(AT38&gt;=NILAI_KKM,"Tuntas","Belum tuntas"))</f>
        <v/>
      </c>
      <c r="AV38" s="32" t="str">
        <f aca="false">IF(AS38="","",AS38+(1000-ROW())/100000)</f>
        <v/>
      </c>
      <c r="AW38" s="33" t="str">
        <f aca="false">IF(AV38="","",RANK(AV38,$AV$6:$AV$55))</f>
        <v/>
      </c>
      <c r="AX38" s="30" t="str">
        <f aca="false">IF(AS38="","",RANK(AS38,$AS$6:$AS$55))</f>
        <v/>
      </c>
      <c r="AY38" s="16" t="str">
        <f aca="false">IF(AW38="","",IF(AW38&lt;=N_GRUP,"Atas",IF(AW38&gt;N_SISWA-N_GRUP,"Bawah","Tengah")))</f>
        <v/>
      </c>
    </row>
    <row r="39" customFormat="false" ht="15" hidden="false" customHeight="true" outlineLevel="0" collapsed="false">
      <c r="A39" s="16" t="n">
        <v>34</v>
      </c>
      <c r="B39" s="20" t="str">
        <f aca="false">IF(JAWABAN!B39="","",JAWABAN!B39)</f>
        <v/>
      </c>
      <c r="C39" s="20" t="str">
        <f aca="false">IF(JAWABAN!C39="","",JAWABAN!C39)</f>
        <v/>
      </c>
      <c r="D39" s="29" t="str">
        <f aca="false">IF(JAWABAN!D39="","",JAWABAN!D39)</f>
        <v/>
      </c>
      <c r="E39" s="16" t="str">
        <f aca="false">IF(OR($B39="",E$4=""),"",IF(UPPER(TRIM(JAWABAN!E39))=E$4,1,0))</f>
        <v/>
      </c>
      <c r="F39" s="16" t="str">
        <f aca="false">IF(OR($B39="",F$4=""),"",IF(UPPER(TRIM(JAWABAN!F39))=F$4,1,0))</f>
        <v/>
      </c>
      <c r="G39" s="16" t="str">
        <f aca="false">IF(OR($B39="",G$4=""),"",IF(UPPER(TRIM(JAWABAN!G39))=G$4,1,0))</f>
        <v/>
      </c>
      <c r="H39" s="16" t="str">
        <f aca="false">IF(OR($B39="",H$4=""),"",IF(UPPER(TRIM(JAWABAN!H39))=H$4,1,0))</f>
        <v/>
      </c>
      <c r="I39" s="16" t="str">
        <f aca="false">IF(OR($B39="",I$4=""),"",IF(UPPER(TRIM(JAWABAN!I39))=I$4,1,0))</f>
        <v/>
      </c>
      <c r="J39" s="16" t="str">
        <f aca="false">IF(OR($B39="",J$4=""),"",IF(UPPER(TRIM(JAWABAN!J39))=J$4,1,0))</f>
        <v/>
      </c>
      <c r="K39" s="16" t="str">
        <f aca="false">IF(OR($B39="",K$4=""),"",IF(UPPER(TRIM(JAWABAN!K39))=K$4,1,0))</f>
        <v/>
      </c>
      <c r="L39" s="16" t="str">
        <f aca="false">IF(OR($B39="",L$4=""),"",IF(UPPER(TRIM(JAWABAN!L39))=L$4,1,0))</f>
        <v/>
      </c>
      <c r="M39" s="16" t="str">
        <f aca="false">IF(OR($B39="",M$4=""),"",IF(UPPER(TRIM(JAWABAN!M39))=M$4,1,0))</f>
        <v/>
      </c>
      <c r="N39" s="16" t="str">
        <f aca="false">IF(OR($B39="",N$4=""),"",IF(UPPER(TRIM(JAWABAN!N39))=N$4,1,0))</f>
        <v/>
      </c>
      <c r="O39" s="16" t="str">
        <f aca="false">IF(OR($B39="",O$4=""),"",IF(UPPER(TRIM(JAWABAN!O39))=O$4,1,0))</f>
        <v/>
      </c>
      <c r="P39" s="16" t="str">
        <f aca="false">IF(OR($B39="",P$4=""),"",IF(UPPER(TRIM(JAWABAN!P39))=P$4,1,0))</f>
        <v/>
      </c>
      <c r="Q39" s="16" t="str">
        <f aca="false">IF(OR($B39="",Q$4=""),"",IF(UPPER(TRIM(JAWABAN!Q39))=Q$4,1,0))</f>
        <v/>
      </c>
      <c r="R39" s="16" t="str">
        <f aca="false">IF(OR($B39="",R$4=""),"",IF(UPPER(TRIM(JAWABAN!R39))=R$4,1,0))</f>
        <v/>
      </c>
      <c r="S39" s="16" t="str">
        <f aca="false">IF(OR($B39="",S$4=""),"",IF(UPPER(TRIM(JAWABAN!S39))=S$4,1,0))</f>
        <v/>
      </c>
      <c r="T39" s="16" t="str">
        <f aca="false">IF(OR($B39="",T$4=""),"",IF(UPPER(TRIM(JAWABAN!T39))=T$4,1,0))</f>
        <v/>
      </c>
      <c r="U39" s="16" t="str">
        <f aca="false">IF(OR($B39="",U$4=""),"",IF(UPPER(TRIM(JAWABAN!U39))=U$4,1,0))</f>
        <v/>
      </c>
      <c r="V39" s="16" t="str">
        <f aca="false">IF(OR($B39="",V$4=""),"",IF(UPPER(TRIM(JAWABAN!V39))=V$4,1,0))</f>
        <v/>
      </c>
      <c r="W39" s="16" t="str">
        <f aca="false">IF(OR($B39="",W$4=""),"",IF(UPPER(TRIM(JAWABAN!W39))=W$4,1,0))</f>
        <v/>
      </c>
      <c r="X39" s="16" t="str">
        <f aca="false">IF(OR($B39="",X$4=""),"",IF(UPPER(TRIM(JAWABAN!X39))=X$4,1,0))</f>
        <v/>
      </c>
      <c r="Y39" s="16" t="str">
        <f aca="false">IF(OR($B39="",Y$4=""),"",IF(UPPER(TRIM(JAWABAN!Y39))=Y$4,1,0))</f>
        <v/>
      </c>
      <c r="Z39" s="16" t="str">
        <f aca="false">IF(OR($B39="",Z$4=""),"",IF(UPPER(TRIM(JAWABAN!Z39))=Z$4,1,0))</f>
        <v/>
      </c>
      <c r="AA39" s="16" t="str">
        <f aca="false">IF(OR($B39="",AA$4=""),"",IF(UPPER(TRIM(JAWABAN!AA39))=AA$4,1,0))</f>
        <v/>
      </c>
      <c r="AB39" s="16" t="str">
        <f aca="false">IF(OR($B39="",AB$4=""),"",IF(UPPER(TRIM(JAWABAN!AB39))=AB$4,1,0))</f>
        <v/>
      </c>
      <c r="AC39" s="16" t="str">
        <f aca="false">IF(OR($B39="",AC$4=""),"",IF(UPPER(TRIM(JAWABAN!AC39))=AC$4,1,0))</f>
        <v/>
      </c>
      <c r="AD39" s="16" t="str">
        <f aca="false">IF(OR($B39="",AD$4=""),"",IF(UPPER(TRIM(JAWABAN!AD39))=AD$4,1,0))</f>
        <v/>
      </c>
      <c r="AE39" s="16" t="str">
        <f aca="false">IF(OR($B39="",AE$4=""),"",IF(UPPER(TRIM(JAWABAN!AE39))=AE$4,1,0))</f>
        <v/>
      </c>
      <c r="AF39" s="16" t="str">
        <f aca="false">IF(OR($B39="",AF$4=""),"",IF(UPPER(TRIM(JAWABAN!AF39))=AF$4,1,0))</f>
        <v/>
      </c>
      <c r="AG39" s="16" t="str">
        <f aca="false">IF(OR($B39="",AG$4=""),"",IF(UPPER(TRIM(JAWABAN!AG39))=AG$4,1,0))</f>
        <v/>
      </c>
      <c r="AH39" s="16" t="str">
        <f aca="false">IF(OR($B39="",AH$4=""),"",IF(UPPER(TRIM(JAWABAN!AH39))=AH$4,1,0))</f>
        <v/>
      </c>
      <c r="AI39" s="16" t="str">
        <f aca="false">IF(OR($B39="",AI$4=""),"",IF(UPPER(TRIM(JAWABAN!AI39))=AI$4,1,0))</f>
        <v/>
      </c>
      <c r="AJ39" s="16" t="str">
        <f aca="false">IF(OR($B39="",AJ$4=""),"",IF(UPPER(TRIM(JAWABAN!AJ39))=AJ$4,1,0))</f>
        <v/>
      </c>
      <c r="AK39" s="16" t="str">
        <f aca="false">IF(OR($B39="",AK$4=""),"",IF(UPPER(TRIM(JAWABAN!AK39))=AK$4,1,0))</f>
        <v/>
      </c>
      <c r="AL39" s="16" t="str">
        <f aca="false">IF(OR($B39="",AL$4=""),"",IF(UPPER(TRIM(JAWABAN!AL39))=AL$4,1,0))</f>
        <v/>
      </c>
      <c r="AM39" s="16" t="str">
        <f aca="false">IF(OR($B39="",AM$4=""),"",IF(UPPER(TRIM(JAWABAN!AM39))=AM$4,1,0))</f>
        <v/>
      </c>
      <c r="AN39" s="16" t="str">
        <f aca="false">IF(OR($B39="",AN$4=""),"",IF(UPPER(TRIM(JAWABAN!AN39))=AN$4,1,0))</f>
        <v/>
      </c>
      <c r="AO39" s="16" t="str">
        <f aca="false">IF(OR($B39="",AO$4=""),"",IF(UPPER(TRIM(JAWABAN!AO39))=AO$4,1,0))</f>
        <v/>
      </c>
      <c r="AP39" s="16" t="str">
        <f aca="false">IF(OR($B39="",AP$4=""),"",IF(UPPER(TRIM(JAWABAN!AP39))=AP$4,1,0))</f>
        <v/>
      </c>
      <c r="AQ39" s="16" t="str">
        <f aca="false">IF(OR($B39="",AQ$4=""),"",IF(UPPER(TRIM(JAWABAN!AQ39))=AQ$4,1,0))</f>
        <v/>
      </c>
      <c r="AR39" s="16" t="str">
        <f aca="false">IF(OR($B39="",AR$4=""),"",IF(UPPER(TRIM(JAWABAN!AR39))=AR$4,1,0))</f>
        <v/>
      </c>
      <c r="AS39" s="30" t="str">
        <f aca="false">IF($B39="","",SUM(E39:AR39))</f>
        <v/>
      </c>
      <c r="AT39" s="31" t="str">
        <f aca="false">IF(AS39="","",IFERROR(ROUND(AS39/K_SOAL*100,2),""))</f>
        <v/>
      </c>
      <c r="AU39" s="16" t="str">
        <f aca="false">IF(AT39="","",IF(AT39&gt;=NILAI_KKM,"Tuntas","Belum tuntas"))</f>
        <v/>
      </c>
      <c r="AV39" s="32" t="str">
        <f aca="false">IF(AS39="","",AS39+(1000-ROW())/100000)</f>
        <v/>
      </c>
      <c r="AW39" s="33" t="str">
        <f aca="false">IF(AV39="","",RANK(AV39,$AV$6:$AV$55))</f>
        <v/>
      </c>
      <c r="AX39" s="30" t="str">
        <f aca="false">IF(AS39="","",RANK(AS39,$AS$6:$AS$55))</f>
        <v/>
      </c>
      <c r="AY39" s="16" t="str">
        <f aca="false">IF(AW39="","",IF(AW39&lt;=N_GRUP,"Atas",IF(AW39&gt;N_SISWA-N_GRUP,"Bawah","Tengah")))</f>
        <v/>
      </c>
    </row>
    <row r="40" customFormat="false" ht="15" hidden="false" customHeight="true" outlineLevel="0" collapsed="false">
      <c r="A40" s="16" t="n">
        <v>35</v>
      </c>
      <c r="B40" s="20" t="str">
        <f aca="false">IF(JAWABAN!B40="","",JAWABAN!B40)</f>
        <v/>
      </c>
      <c r="C40" s="20" t="str">
        <f aca="false">IF(JAWABAN!C40="","",JAWABAN!C40)</f>
        <v/>
      </c>
      <c r="D40" s="29" t="str">
        <f aca="false">IF(JAWABAN!D40="","",JAWABAN!D40)</f>
        <v/>
      </c>
      <c r="E40" s="16" t="str">
        <f aca="false">IF(OR($B40="",E$4=""),"",IF(UPPER(TRIM(JAWABAN!E40))=E$4,1,0))</f>
        <v/>
      </c>
      <c r="F40" s="16" t="str">
        <f aca="false">IF(OR($B40="",F$4=""),"",IF(UPPER(TRIM(JAWABAN!F40))=F$4,1,0))</f>
        <v/>
      </c>
      <c r="G40" s="16" t="str">
        <f aca="false">IF(OR($B40="",G$4=""),"",IF(UPPER(TRIM(JAWABAN!G40))=G$4,1,0))</f>
        <v/>
      </c>
      <c r="H40" s="16" t="str">
        <f aca="false">IF(OR($B40="",H$4=""),"",IF(UPPER(TRIM(JAWABAN!H40))=H$4,1,0))</f>
        <v/>
      </c>
      <c r="I40" s="16" t="str">
        <f aca="false">IF(OR($B40="",I$4=""),"",IF(UPPER(TRIM(JAWABAN!I40))=I$4,1,0))</f>
        <v/>
      </c>
      <c r="J40" s="16" t="str">
        <f aca="false">IF(OR($B40="",J$4=""),"",IF(UPPER(TRIM(JAWABAN!J40))=J$4,1,0))</f>
        <v/>
      </c>
      <c r="K40" s="16" t="str">
        <f aca="false">IF(OR($B40="",K$4=""),"",IF(UPPER(TRIM(JAWABAN!K40))=K$4,1,0))</f>
        <v/>
      </c>
      <c r="L40" s="16" t="str">
        <f aca="false">IF(OR($B40="",L$4=""),"",IF(UPPER(TRIM(JAWABAN!L40))=L$4,1,0))</f>
        <v/>
      </c>
      <c r="M40" s="16" t="str">
        <f aca="false">IF(OR($B40="",M$4=""),"",IF(UPPER(TRIM(JAWABAN!M40))=M$4,1,0))</f>
        <v/>
      </c>
      <c r="N40" s="16" t="str">
        <f aca="false">IF(OR($B40="",N$4=""),"",IF(UPPER(TRIM(JAWABAN!N40))=N$4,1,0))</f>
        <v/>
      </c>
      <c r="O40" s="16" t="str">
        <f aca="false">IF(OR($B40="",O$4=""),"",IF(UPPER(TRIM(JAWABAN!O40))=O$4,1,0))</f>
        <v/>
      </c>
      <c r="P40" s="16" t="str">
        <f aca="false">IF(OR($B40="",P$4=""),"",IF(UPPER(TRIM(JAWABAN!P40))=P$4,1,0))</f>
        <v/>
      </c>
      <c r="Q40" s="16" t="str">
        <f aca="false">IF(OR($B40="",Q$4=""),"",IF(UPPER(TRIM(JAWABAN!Q40))=Q$4,1,0))</f>
        <v/>
      </c>
      <c r="R40" s="16" t="str">
        <f aca="false">IF(OR($B40="",R$4=""),"",IF(UPPER(TRIM(JAWABAN!R40))=R$4,1,0))</f>
        <v/>
      </c>
      <c r="S40" s="16" t="str">
        <f aca="false">IF(OR($B40="",S$4=""),"",IF(UPPER(TRIM(JAWABAN!S40))=S$4,1,0))</f>
        <v/>
      </c>
      <c r="T40" s="16" t="str">
        <f aca="false">IF(OR($B40="",T$4=""),"",IF(UPPER(TRIM(JAWABAN!T40))=T$4,1,0))</f>
        <v/>
      </c>
      <c r="U40" s="16" t="str">
        <f aca="false">IF(OR($B40="",U$4=""),"",IF(UPPER(TRIM(JAWABAN!U40))=U$4,1,0))</f>
        <v/>
      </c>
      <c r="V40" s="16" t="str">
        <f aca="false">IF(OR($B40="",V$4=""),"",IF(UPPER(TRIM(JAWABAN!V40))=V$4,1,0))</f>
        <v/>
      </c>
      <c r="W40" s="16" t="str">
        <f aca="false">IF(OR($B40="",W$4=""),"",IF(UPPER(TRIM(JAWABAN!W40))=W$4,1,0))</f>
        <v/>
      </c>
      <c r="X40" s="16" t="str">
        <f aca="false">IF(OR($B40="",X$4=""),"",IF(UPPER(TRIM(JAWABAN!X40))=X$4,1,0))</f>
        <v/>
      </c>
      <c r="Y40" s="16" t="str">
        <f aca="false">IF(OR($B40="",Y$4=""),"",IF(UPPER(TRIM(JAWABAN!Y40))=Y$4,1,0))</f>
        <v/>
      </c>
      <c r="Z40" s="16" t="str">
        <f aca="false">IF(OR($B40="",Z$4=""),"",IF(UPPER(TRIM(JAWABAN!Z40))=Z$4,1,0))</f>
        <v/>
      </c>
      <c r="AA40" s="16" t="str">
        <f aca="false">IF(OR($B40="",AA$4=""),"",IF(UPPER(TRIM(JAWABAN!AA40))=AA$4,1,0))</f>
        <v/>
      </c>
      <c r="AB40" s="16" t="str">
        <f aca="false">IF(OR($B40="",AB$4=""),"",IF(UPPER(TRIM(JAWABAN!AB40))=AB$4,1,0))</f>
        <v/>
      </c>
      <c r="AC40" s="16" t="str">
        <f aca="false">IF(OR($B40="",AC$4=""),"",IF(UPPER(TRIM(JAWABAN!AC40))=AC$4,1,0))</f>
        <v/>
      </c>
      <c r="AD40" s="16" t="str">
        <f aca="false">IF(OR($B40="",AD$4=""),"",IF(UPPER(TRIM(JAWABAN!AD40))=AD$4,1,0))</f>
        <v/>
      </c>
      <c r="AE40" s="16" t="str">
        <f aca="false">IF(OR($B40="",AE$4=""),"",IF(UPPER(TRIM(JAWABAN!AE40))=AE$4,1,0))</f>
        <v/>
      </c>
      <c r="AF40" s="16" t="str">
        <f aca="false">IF(OR($B40="",AF$4=""),"",IF(UPPER(TRIM(JAWABAN!AF40))=AF$4,1,0))</f>
        <v/>
      </c>
      <c r="AG40" s="16" t="str">
        <f aca="false">IF(OR($B40="",AG$4=""),"",IF(UPPER(TRIM(JAWABAN!AG40))=AG$4,1,0))</f>
        <v/>
      </c>
      <c r="AH40" s="16" t="str">
        <f aca="false">IF(OR($B40="",AH$4=""),"",IF(UPPER(TRIM(JAWABAN!AH40))=AH$4,1,0))</f>
        <v/>
      </c>
      <c r="AI40" s="16" t="str">
        <f aca="false">IF(OR($B40="",AI$4=""),"",IF(UPPER(TRIM(JAWABAN!AI40))=AI$4,1,0))</f>
        <v/>
      </c>
      <c r="AJ40" s="16" t="str">
        <f aca="false">IF(OR($B40="",AJ$4=""),"",IF(UPPER(TRIM(JAWABAN!AJ40))=AJ$4,1,0))</f>
        <v/>
      </c>
      <c r="AK40" s="16" t="str">
        <f aca="false">IF(OR($B40="",AK$4=""),"",IF(UPPER(TRIM(JAWABAN!AK40))=AK$4,1,0))</f>
        <v/>
      </c>
      <c r="AL40" s="16" t="str">
        <f aca="false">IF(OR($B40="",AL$4=""),"",IF(UPPER(TRIM(JAWABAN!AL40))=AL$4,1,0))</f>
        <v/>
      </c>
      <c r="AM40" s="16" t="str">
        <f aca="false">IF(OR($B40="",AM$4=""),"",IF(UPPER(TRIM(JAWABAN!AM40))=AM$4,1,0))</f>
        <v/>
      </c>
      <c r="AN40" s="16" t="str">
        <f aca="false">IF(OR($B40="",AN$4=""),"",IF(UPPER(TRIM(JAWABAN!AN40))=AN$4,1,0))</f>
        <v/>
      </c>
      <c r="AO40" s="16" t="str">
        <f aca="false">IF(OR($B40="",AO$4=""),"",IF(UPPER(TRIM(JAWABAN!AO40))=AO$4,1,0))</f>
        <v/>
      </c>
      <c r="AP40" s="16" t="str">
        <f aca="false">IF(OR($B40="",AP$4=""),"",IF(UPPER(TRIM(JAWABAN!AP40))=AP$4,1,0))</f>
        <v/>
      </c>
      <c r="AQ40" s="16" t="str">
        <f aca="false">IF(OR($B40="",AQ$4=""),"",IF(UPPER(TRIM(JAWABAN!AQ40))=AQ$4,1,0))</f>
        <v/>
      </c>
      <c r="AR40" s="16" t="str">
        <f aca="false">IF(OR($B40="",AR$4=""),"",IF(UPPER(TRIM(JAWABAN!AR40))=AR$4,1,0))</f>
        <v/>
      </c>
      <c r="AS40" s="30" t="str">
        <f aca="false">IF($B40="","",SUM(E40:AR40))</f>
        <v/>
      </c>
      <c r="AT40" s="31" t="str">
        <f aca="false">IF(AS40="","",IFERROR(ROUND(AS40/K_SOAL*100,2),""))</f>
        <v/>
      </c>
      <c r="AU40" s="16" t="str">
        <f aca="false">IF(AT40="","",IF(AT40&gt;=NILAI_KKM,"Tuntas","Belum tuntas"))</f>
        <v/>
      </c>
      <c r="AV40" s="32" t="str">
        <f aca="false">IF(AS40="","",AS40+(1000-ROW())/100000)</f>
        <v/>
      </c>
      <c r="AW40" s="33" t="str">
        <f aca="false">IF(AV40="","",RANK(AV40,$AV$6:$AV$55))</f>
        <v/>
      </c>
      <c r="AX40" s="30" t="str">
        <f aca="false">IF(AS40="","",RANK(AS40,$AS$6:$AS$55))</f>
        <v/>
      </c>
      <c r="AY40" s="16" t="str">
        <f aca="false">IF(AW40="","",IF(AW40&lt;=N_GRUP,"Atas",IF(AW40&gt;N_SISWA-N_GRUP,"Bawah","Tengah")))</f>
        <v/>
      </c>
    </row>
    <row r="41" customFormat="false" ht="15" hidden="false" customHeight="true" outlineLevel="0" collapsed="false">
      <c r="A41" s="16" t="n">
        <v>36</v>
      </c>
      <c r="B41" s="20" t="str">
        <f aca="false">IF(JAWABAN!B41="","",JAWABAN!B41)</f>
        <v/>
      </c>
      <c r="C41" s="20" t="str">
        <f aca="false">IF(JAWABAN!C41="","",JAWABAN!C41)</f>
        <v/>
      </c>
      <c r="D41" s="29" t="str">
        <f aca="false">IF(JAWABAN!D41="","",JAWABAN!D41)</f>
        <v/>
      </c>
      <c r="E41" s="16" t="str">
        <f aca="false">IF(OR($B41="",E$4=""),"",IF(UPPER(TRIM(JAWABAN!E41))=E$4,1,0))</f>
        <v/>
      </c>
      <c r="F41" s="16" t="str">
        <f aca="false">IF(OR($B41="",F$4=""),"",IF(UPPER(TRIM(JAWABAN!F41))=F$4,1,0))</f>
        <v/>
      </c>
      <c r="G41" s="16" t="str">
        <f aca="false">IF(OR($B41="",G$4=""),"",IF(UPPER(TRIM(JAWABAN!G41))=G$4,1,0))</f>
        <v/>
      </c>
      <c r="H41" s="16" t="str">
        <f aca="false">IF(OR($B41="",H$4=""),"",IF(UPPER(TRIM(JAWABAN!H41))=H$4,1,0))</f>
        <v/>
      </c>
      <c r="I41" s="16" t="str">
        <f aca="false">IF(OR($B41="",I$4=""),"",IF(UPPER(TRIM(JAWABAN!I41))=I$4,1,0))</f>
        <v/>
      </c>
      <c r="J41" s="16" t="str">
        <f aca="false">IF(OR($B41="",J$4=""),"",IF(UPPER(TRIM(JAWABAN!J41))=J$4,1,0))</f>
        <v/>
      </c>
      <c r="K41" s="16" t="str">
        <f aca="false">IF(OR($B41="",K$4=""),"",IF(UPPER(TRIM(JAWABAN!K41))=K$4,1,0))</f>
        <v/>
      </c>
      <c r="L41" s="16" t="str">
        <f aca="false">IF(OR($B41="",L$4=""),"",IF(UPPER(TRIM(JAWABAN!L41))=L$4,1,0))</f>
        <v/>
      </c>
      <c r="M41" s="16" t="str">
        <f aca="false">IF(OR($B41="",M$4=""),"",IF(UPPER(TRIM(JAWABAN!M41))=M$4,1,0))</f>
        <v/>
      </c>
      <c r="N41" s="16" t="str">
        <f aca="false">IF(OR($B41="",N$4=""),"",IF(UPPER(TRIM(JAWABAN!N41))=N$4,1,0))</f>
        <v/>
      </c>
      <c r="O41" s="16" t="str">
        <f aca="false">IF(OR($B41="",O$4=""),"",IF(UPPER(TRIM(JAWABAN!O41))=O$4,1,0))</f>
        <v/>
      </c>
      <c r="P41" s="16" t="str">
        <f aca="false">IF(OR($B41="",P$4=""),"",IF(UPPER(TRIM(JAWABAN!P41))=P$4,1,0))</f>
        <v/>
      </c>
      <c r="Q41" s="16" t="str">
        <f aca="false">IF(OR($B41="",Q$4=""),"",IF(UPPER(TRIM(JAWABAN!Q41))=Q$4,1,0))</f>
        <v/>
      </c>
      <c r="R41" s="16" t="str">
        <f aca="false">IF(OR($B41="",R$4=""),"",IF(UPPER(TRIM(JAWABAN!R41))=R$4,1,0))</f>
        <v/>
      </c>
      <c r="S41" s="16" t="str">
        <f aca="false">IF(OR($B41="",S$4=""),"",IF(UPPER(TRIM(JAWABAN!S41))=S$4,1,0))</f>
        <v/>
      </c>
      <c r="T41" s="16" t="str">
        <f aca="false">IF(OR($B41="",T$4=""),"",IF(UPPER(TRIM(JAWABAN!T41))=T$4,1,0))</f>
        <v/>
      </c>
      <c r="U41" s="16" t="str">
        <f aca="false">IF(OR($B41="",U$4=""),"",IF(UPPER(TRIM(JAWABAN!U41))=U$4,1,0))</f>
        <v/>
      </c>
      <c r="V41" s="16" t="str">
        <f aca="false">IF(OR($B41="",V$4=""),"",IF(UPPER(TRIM(JAWABAN!V41))=V$4,1,0))</f>
        <v/>
      </c>
      <c r="W41" s="16" t="str">
        <f aca="false">IF(OR($B41="",W$4=""),"",IF(UPPER(TRIM(JAWABAN!W41))=W$4,1,0))</f>
        <v/>
      </c>
      <c r="X41" s="16" t="str">
        <f aca="false">IF(OR($B41="",X$4=""),"",IF(UPPER(TRIM(JAWABAN!X41))=X$4,1,0))</f>
        <v/>
      </c>
      <c r="Y41" s="16" t="str">
        <f aca="false">IF(OR($B41="",Y$4=""),"",IF(UPPER(TRIM(JAWABAN!Y41))=Y$4,1,0))</f>
        <v/>
      </c>
      <c r="Z41" s="16" t="str">
        <f aca="false">IF(OR($B41="",Z$4=""),"",IF(UPPER(TRIM(JAWABAN!Z41))=Z$4,1,0))</f>
        <v/>
      </c>
      <c r="AA41" s="16" t="str">
        <f aca="false">IF(OR($B41="",AA$4=""),"",IF(UPPER(TRIM(JAWABAN!AA41))=AA$4,1,0))</f>
        <v/>
      </c>
      <c r="AB41" s="16" t="str">
        <f aca="false">IF(OR($B41="",AB$4=""),"",IF(UPPER(TRIM(JAWABAN!AB41))=AB$4,1,0))</f>
        <v/>
      </c>
      <c r="AC41" s="16" t="str">
        <f aca="false">IF(OR($B41="",AC$4=""),"",IF(UPPER(TRIM(JAWABAN!AC41))=AC$4,1,0))</f>
        <v/>
      </c>
      <c r="AD41" s="16" t="str">
        <f aca="false">IF(OR($B41="",AD$4=""),"",IF(UPPER(TRIM(JAWABAN!AD41))=AD$4,1,0))</f>
        <v/>
      </c>
      <c r="AE41" s="16" t="str">
        <f aca="false">IF(OR($B41="",AE$4=""),"",IF(UPPER(TRIM(JAWABAN!AE41))=AE$4,1,0))</f>
        <v/>
      </c>
      <c r="AF41" s="16" t="str">
        <f aca="false">IF(OR($B41="",AF$4=""),"",IF(UPPER(TRIM(JAWABAN!AF41))=AF$4,1,0))</f>
        <v/>
      </c>
      <c r="AG41" s="16" t="str">
        <f aca="false">IF(OR($B41="",AG$4=""),"",IF(UPPER(TRIM(JAWABAN!AG41))=AG$4,1,0))</f>
        <v/>
      </c>
      <c r="AH41" s="16" t="str">
        <f aca="false">IF(OR($B41="",AH$4=""),"",IF(UPPER(TRIM(JAWABAN!AH41))=AH$4,1,0))</f>
        <v/>
      </c>
      <c r="AI41" s="16" t="str">
        <f aca="false">IF(OR($B41="",AI$4=""),"",IF(UPPER(TRIM(JAWABAN!AI41))=AI$4,1,0))</f>
        <v/>
      </c>
      <c r="AJ41" s="16" t="str">
        <f aca="false">IF(OR($B41="",AJ$4=""),"",IF(UPPER(TRIM(JAWABAN!AJ41))=AJ$4,1,0))</f>
        <v/>
      </c>
      <c r="AK41" s="16" t="str">
        <f aca="false">IF(OR($B41="",AK$4=""),"",IF(UPPER(TRIM(JAWABAN!AK41))=AK$4,1,0))</f>
        <v/>
      </c>
      <c r="AL41" s="16" t="str">
        <f aca="false">IF(OR($B41="",AL$4=""),"",IF(UPPER(TRIM(JAWABAN!AL41))=AL$4,1,0))</f>
        <v/>
      </c>
      <c r="AM41" s="16" t="str">
        <f aca="false">IF(OR($B41="",AM$4=""),"",IF(UPPER(TRIM(JAWABAN!AM41))=AM$4,1,0))</f>
        <v/>
      </c>
      <c r="AN41" s="16" t="str">
        <f aca="false">IF(OR($B41="",AN$4=""),"",IF(UPPER(TRIM(JAWABAN!AN41))=AN$4,1,0))</f>
        <v/>
      </c>
      <c r="AO41" s="16" t="str">
        <f aca="false">IF(OR($B41="",AO$4=""),"",IF(UPPER(TRIM(JAWABAN!AO41))=AO$4,1,0))</f>
        <v/>
      </c>
      <c r="AP41" s="16" t="str">
        <f aca="false">IF(OR($B41="",AP$4=""),"",IF(UPPER(TRIM(JAWABAN!AP41))=AP$4,1,0))</f>
        <v/>
      </c>
      <c r="AQ41" s="16" t="str">
        <f aca="false">IF(OR($B41="",AQ$4=""),"",IF(UPPER(TRIM(JAWABAN!AQ41))=AQ$4,1,0))</f>
        <v/>
      </c>
      <c r="AR41" s="16" t="str">
        <f aca="false">IF(OR($B41="",AR$4=""),"",IF(UPPER(TRIM(JAWABAN!AR41))=AR$4,1,0))</f>
        <v/>
      </c>
      <c r="AS41" s="30" t="str">
        <f aca="false">IF($B41="","",SUM(E41:AR41))</f>
        <v/>
      </c>
      <c r="AT41" s="31" t="str">
        <f aca="false">IF(AS41="","",IFERROR(ROUND(AS41/K_SOAL*100,2),""))</f>
        <v/>
      </c>
      <c r="AU41" s="16" t="str">
        <f aca="false">IF(AT41="","",IF(AT41&gt;=NILAI_KKM,"Tuntas","Belum tuntas"))</f>
        <v/>
      </c>
      <c r="AV41" s="32" t="str">
        <f aca="false">IF(AS41="","",AS41+(1000-ROW())/100000)</f>
        <v/>
      </c>
      <c r="AW41" s="33" t="str">
        <f aca="false">IF(AV41="","",RANK(AV41,$AV$6:$AV$55))</f>
        <v/>
      </c>
      <c r="AX41" s="30" t="str">
        <f aca="false">IF(AS41="","",RANK(AS41,$AS$6:$AS$55))</f>
        <v/>
      </c>
      <c r="AY41" s="16" t="str">
        <f aca="false">IF(AW41="","",IF(AW41&lt;=N_GRUP,"Atas",IF(AW41&gt;N_SISWA-N_GRUP,"Bawah","Tengah")))</f>
        <v/>
      </c>
    </row>
    <row r="42" customFormat="false" ht="15" hidden="false" customHeight="true" outlineLevel="0" collapsed="false">
      <c r="A42" s="16" t="n">
        <v>37</v>
      </c>
      <c r="B42" s="20" t="str">
        <f aca="false">IF(JAWABAN!B42="","",JAWABAN!B42)</f>
        <v/>
      </c>
      <c r="C42" s="20" t="str">
        <f aca="false">IF(JAWABAN!C42="","",JAWABAN!C42)</f>
        <v/>
      </c>
      <c r="D42" s="29" t="str">
        <f aca="false">IF(JAWABAN!D42="","",JAWABAN!D42)</f>
        <v/>
      </c>
      <c r="E42" s="16" t="str">
        <f aca="false">IF(OR($B42="",E$4=""),"",IF(UPPER(TRIM(JAWABAN!E42))=E$4,1,0))</f>
        <v/>
      </c>
      <c r="F42" s="16" t="str">
        <f aca="false">IF(OR($B42="",F$4=""),"",IF(UPPER(TRIM(JAWABAN!F42))=F$4,1,0))</f>
        <v/>
      </c>
      <c r="G42" s="16" t="str">
        <f aca="false">IF(OR($B42="",G$4=""),"",IF(UPPER(TRIM(JAWABAN!G42))=G$4,1,0))</f>
        <v/>
      </c>
      <c r="H42" s="16" t="str">
        <f aca="false">IF(OR($B42="",H$4=""),"",IF(UPPER(TRIM(JAWABAN!H42))=H$4,1,0))</f>
        <v/>
      </c>
      <c r="I42" s="16" t="str">
        <f aca="false">IF(OR($B42="",I$4=""),"",IF(UPPER(TRIM(JAWABAN!I42))=I$4,1,0))</f>
        <v/>
      </c>
      <c r="J42" s="16" t="str">
        <f aca="false">IF(OR($B42="",J$4=""),"",IF(UPPER(TRIM(JAWABAN!J42))=J$4,1,0))</f>
        <v/>
      </c>
      <c r="K42" s="16" t="str">
        <f aca="false">IF(OR($B42="",K$4=""),"",IF(UPPER(TRIM(JAWABAN!K42))=K$4,1,0))</f>
        <v/>
      </c>
      <c r="L42" s="16" t="str">
        <f aca="false">IF(OR($B42="",L$4=""),"",IF(UPPER(TRIM(JAWABAN!L42))=L$4,1,0))</f>
        <v/>
      </c>
      <c r="M42" s="16" t="str">
        <f aca="false">IF(OR($B42="",M$4=""),"",IF(UPPER(TRIM(JAWABAN!M42))=M$4,1,0))</f>
        <v/>
      </c>
      <c r="N42" s="16" t="str">
        <f aca="false">IF(OR($B42="",N$4=""),"",IF(UPPER(TRIM(JAWABAN!N42))=N$4,1,0))</f>
        <v/>
      </c>
      <c r="O42" s="16" t="str">
        <f aca="false">IF(OR($B42="",O$4=""),"",IF(UPPER(TRIM(JAWABAN!O42))=O$4,1,0))</f>
        <v/>
      </c>
      <c r="P42" s="16" t="str">
        <f aca="false">IF(OR($B42="",P$4=""),"",IF(UPPER(TRIM(JAWABAN!P42))=P$4,1,0))</f>
        <v/>
      </c>
      <c r="Q42" s="16" t="str">
        <f aca="false">IF(OR($B42="",Q$4=""),"",IF(UPPER(TRIM(JAWABAN!Q42))=Q$4,1,0))</f>
        <v/>
      </c>
      <c r="R42" s="16" t="str">
        <f aca="false">IF(OR($B42="",R$4=""),"",IF(UPPER(TRIM(JAWABAN!R42))=R$4,1,0))</f>
        <v/>
      </c>
      <c r="S42" s="16" t="str">
        <f aca="false">IF(OR($B42="",S$4=""),"",IF(UPPER(TRIM(JAWABAN!S42))=S$4,1,0))</f>
        <v/>
      </c>
      <c r="T42" s="16" t="str">
        <f aca="false">IF(OR($B42="",T$4=""),"",IF(UPPER(TRIM(JAWABAN!T42))=T$4,1,0))</f>
        <v/>
      </c>
      <c r="U42" s="16" t="str">
        <f aca="false">IF(OR($B42="",U$4=""),"",IF(UPPER(TRIM(JAWABAN!U42))=U$4,1,0))</f>
        <v/>
      </c>
      <c r="V42" s="16" t="str">
        <f aca="false">IF(OR($B42="",V$4=""),"",IF(UPPER(TRIM(JAWABAN!V42))=V$4,1,0))</f>
        <v/>
      </c>
      <c r="W42" s="16" t="str">
        <f aca="false">IF(OR($B42="",W$4=""),"",IF(UPPER(TRIM(JAWABAN!W42))=W$4,1,0))</f>
        <v/>
      </c>
      <c r="X42" s="16" t="str">
        <f aca="false">IF(OR($B42="",X$4=""),"",IF(UPPER(TRIM(JAWABAN!X42))=X$4,1,0))</f>
        <v/>
      </c>
      <c r="Y42" s="16" t="str">
        <f aca="false">IF(OR($B42="",Y$4=""),"",IF(UPPER(TRIM(JAWABAN!Y42))=Y$4,1,0))</f>
        <v/>
      </c>
      <c r="Z42" s="16" t="str">
        <f aca="false">IF(OR($B42="",Z$4=""),"",IF(UPPER(TRIM(JAWABAN!Z42))=Z$4,1,0))</f>
        <v/>
      </c>
      <c r="AA42" s="16" t="str">
        <f aca="false">IF(OR($B42="",AA$4=""),"",IF(UPPER(TRIM(JAWABAN!AA42))=AA$4,1,0))</f>
        <v/>
      </c>
      <c r="AB42" s="16" t="str">
        <f aca="false">IF(OR($B42="",AB$4=""),"",IF(UPPER(TRIM(JAWABAN!AB42))=AB$4,1,0))</f>
        <v/>
      </c>
      <c r="AC42" s="16" t="str">
        <f aca="false">IF(OR($B42="",AC$4=""),"",IF(UPPER(TRIM(JAWABAN!AC42))=AC$4,1,0))</f>
        <v/>
      </c>
      <c r="AD42" s="16" t="str">
        <f aca="false">IF(OR($B42="",AD$4=""),"",IF(UPPER(TRIM(JAWABAN!AD42))=AD$4,1,0))</f>
        <v/>
      </c>
      <c r="AE42" s="16" t="str">
        <f aca="false">IF(OR($B42="",AE$4=""),"",IF(UPPER(TRIM(JAWABAN!AE42))=AE$4,1,0))</f>
        <v/>
      </c>
      <c r="AF42" s="16" t="str">
        <f aca="false">IF(OR($B42="",AF$4=""),"",IF(UPPER(TRIM(JAWABAN!AF42))=AF$4,1,0))</f>
        <v/>
      </c>
      <c r="AG42" s="16" t="str">
        <f aca="false">IF(OR($B42="",AG$4=""),"",IF(UPPER(TRIM(JAWABAN!AG42))=AG$4,1,0))</f>
        <v/>
      </c>
      <c r="AH42" s="16" t="str">
        <f aca="false">IF(OR($B42="",AH$4=""),"",IF(UPPER(TRIM(JAWABAN!AH42))=AH$4,1,0))</f>
        <v/>
      </c>
      <c r="AI42" s="16" t="str">
        <f aca="false">IF(OR($B42="",AI$4=""),"",IF(UPPER(TRIM(JAWABAN!AI42))=AI$4,1,0))</f>
        <v/>
      </c>
      <c r="AJ42" s="16" t="str">
        <f aca="false">IF(OR($B42="",AJ$4=""),"",IF(UPPER(TRIM(JAWABAN!AJ42))=AJ$4,1,0))</f>
        <v/>
      </c>
      <c r="AK42" s="16" t="str">
        <f aca="false">IF(OR($B42="",AK$4=""),"",IF(UPPER(TRIM(JAWABAN!AK42))=AK$4,1,0))</f>
        <v/>
      </c>
      <c r="AL42" s="16" t="str">
        <f aca="false">IF(OR($B42="",AL$4=""),"",IF(UPPER(TRIM(JAWABAN!AL42))=AL$4,1,0))</f>
        <v/>
      </c>
      <c r="AM42" s="16" t="str">
        <f aca="false">IF(OR($B42="",AM$4=""),"",IF(UPPER(TRIM(JAWABAN!AM42))=AM$4,1,0))</f>
        <v/>
      </c>
      <c r="AN42" s="16" t="str">
        <f aca="false">IF(OR($B42="",AN$4=""),"",IF(UPPER(TRIM(JAWABAN!AN42))=AN$4,1,0))</f>
        <v/>
      </c>
      <c r="AO42" s="16" t="str">
        <f aca="false">IF(OR($B42="",AO$4=""),"",IF(UPPER(TRIM(JAWABAN!AO42))=AO$4,1,0))</f>
        <v/>
      </c>
      <c r="AP42" s="16" t="str">
        <f aca="false">IF(OR($B42="",AP$4=""),"",IF(UPPER(TRIM(JAWABAN!AP42))=AP$4,1,0))</f>
        <v/>
      </c>
      <c r="AQ42" s="16" t="str">
        <f aca="false">IF(OR($B42="",AQ$4=""),"",IF(UPPER(TRIM(JAWABAN!AQ42))=AQ$4,1,0))</f>
        <v/>
      </c>
      <c r="AR42" s="16" t="str">
        <f aca="false">IF(OR($B42="",AR$4=""),"",IF(UPPER(TRIM(JAWABAN!AR42))=AR$4,1,0))</f>
        <v/>
      </c>
      <c r="AS42" s="30" t="str">
        <f aca="false">IF($B42="","",SUM(E42:AR42))</f>
        <v/>
      </c>
      <c r="AT42" s="31" t="str">
        <f aca="false">IF(AS42="","",IFERROR(ROUND(AS42/K_SOAL*100,2),""))</f>
        <v/>
      </c>
      <c r="AU42" s="16" t="str">
        <f aca="false">IF(AT42="","",IF(AT42&gt;=NILAI_KKM,"Tuntas","Belum tuntas"))</f>
        <v/>
      </c>
      <c r="AV42" s="32" t="str">
        <f aca="false">IF(AS42="","",AS42+(1000-ROW())/100000)</f>
        <v/>
      </c>
      <c r="AW42" s="33" t="str">
        <f aca="false">IF(AV42="","",RANK(AV42,$AV$6:$AV$55))</f>
        <v/>
      </c>
      <c r="AX42" s="30" t="str">
        <f aca="false">IF(AS42="","",RANK(AS42,$AS$6:$AS$55))</f>
        <v/>
      </c>
      <c r="AY42" s="16" t="str">
        <f aca="false">IF(AW42="","",IF(AW42&lt;=N_GRUP,"Atas",IF(AW42&gt;N_SISWA-N_GRUP,"Bawah","Tengah")))</f>
        <v/>
      </c>
    </row>
    <row r="43" customFormat="false" ht="15" hidden="false" customHeight="true" outlineLevel="0" collapsed="false">
      <c r="A43" s="16" t="n">
        <v>38</v>
      </c>
      <c r="B43" s="20" t="str">
        <f aca="false">IF(JAWABAN!B43="","",JAWABAN!B43)</f>
        <v/>
      </c>
      <c r="C43" s="20" t="str">
        <f aca="false">IF(JAWABAN!C43="","",JAWABAN!C43)</f>
        <v/>
      </c>
      <c r="D43" s="29" t="str">
        <f aca="false">IF(JAWABAN!D43="","",JAWABAN!D43)</f>
        <v/>
      </c>
      <c r="E43" s="16" t="str">
        <f aca="false">IF(OR($B43="",E$4=""),"",IF(UPPER(TRIM(JAWABAN!E43))=E$4,1,0))</f>
        <v/>
      </c>
      <c r="F43" s="16" t="str">
        <f aca="false">IF(OR($B43="",F$4=""),"",IF(UPPER(TRIM(JAWABAN!F43))=F$4,1,0))</f>
        <v/>
      </c>
      <c r="G43" s="16" t="str">
        <f aca="false">IF(OR($B43="",G$4=""),"",IF(UPPER(TRIM(JAWABAN!G43))=G$4,1,0))</f>
        <v/>
      </c>
      <c r="H43" s="16" t="str">
        <f aca="false">IF(OR($B43="",H$4=""),"",IF(UPPER(TRIM(JAWABAN!H43))=H$4,1,0))</f>
        <v/>
      </c>
      <c r="I43" s="16" t="str">
        <f aca="false">IF(OR($B43="",I$4=""),"",IF(UPPER(TRIM(JAWABAN!I43))=I$4,1,0))</f>
        <v/>
      </c>
      <c r="J43" s="16" t="str">
        <f aca="false">IF(OR($B43="",J$4=""),"",IF(UPPER(TRIM(JAWABAN!J43))=J$4,1,0))</f>
        <v/>
      </c>
      <c r="K43" s="16" t="str">
        <f aca="false">IF(OR($B43="",K$4=""),"",IF(UPPER(TRIM(JAWABAN!K43))=K$4,1,0))</f>
        <v/>
      </c>
      <c r="L43" s="16" t="str">
        <f aca="false">IF(OR($B43="",L$4=""),"",IF(UPPER(TRIM(JAWABAN!L43))=L$4,1,0))</f>
        <v/>
      </c>
      <c r="M43" s="16" t="str">
        <f aca="false">IF(OR($B43="",M$4=""),"",IF(UPPER(TRIM(JAWABAN!M43))=M$4,1,0))</f>
        <v/>
      </c>
      <c r="N43" s="16" t="str">
        <f aca="false">IF(OR($B43="",N$4=""),"",IF(UPPER(TRIM(JAWABAN!N43))=N$4,1,0))</f>
        <v/>
      </c>
      <c r="O43" s="16" t="str">
        <f aca="false">IF(OR($B43="",O$4=""),"",IF(UPPER(TRIM(JAWABAN!O43))=O$4,1,0))</f>
        <v/>
      </c>
      <c r="P43" s="16" t="str">
        <f aca="false">IF(OR($B43="",P$4=""),"",IF(UPPER(TRIM(JAWABAN!P43))=P$4,1,0))</f>
        <v/>
      </c>
      <c r="Q43" s="16" t="str">
        <f aca="false">IF(OR($B43="",Q$4=""),"",IF(UPPER(TRIM(JAWABAN!Q43))=Q$4,1,0))</f>
        <v/>
      </c>
      <c r="R43" s="16" t="str">
        <f aca="false">IF(OR($B43="",R$4=""),"",IF(UPPER(TRIM(JAWABAN!R43))=R$4,1,0))</f>
        <v/>
      </c>
      <c r="S43" s="16" t="str">
        <f aca="false">IF(OR($B43="",S$4=""),"",IF(UPPER(TRIM(JAWABAN!S43))=S$4,1,0))</f>
        <v/>
      </c>
      <c r="T43" s="16" t="str">
        <f aca="false">IF(OR($B43="",T$4=""),"",IF(UPPER(TRIM(JAWABAN!T43))=T$4,1,0))</f>
        <v/>
      </c>
      <c r="U43" s="16" t="str">
        <f aca="false">IF(OR($B43="",U$4=""),"",IF(UPPER(TRIM(JAWABAN!U43))=U$4,1,0))</f>
        <v/>
      </c>
      <c r="V43" s="16" t="str">
        <f aca="false">IF(OR($B43="",V$4=""),"",IF(UPPER(TRIM(JAWABAN!V43))=V$4,1,0))</f>
        <v/>
      </c>
      <c r="W43" s="16" t="str">
        <f aca="false">IF(OR($B43="",W$4=""),"",IF(UPPER(TRIM(JAWABAN!W43))=W$4,1,0))</f>
        <v/>
      </c>
      <c r="X43" s="16" t="str">
        <f aca="false">IF(OR($B43="",X$4=""),"",IF(UPPER(TRIM(JAWABAN!X43))=X$4,1,0))</f>
        <v/>
      </c>
      <c r="Y43" s="16" t="str">
        <f aca="false">IF(OR($B43="",Y$4=""),"",IF(UPPER(TRIM(JAWABAN!Y43))=Y$4,1,0))</f>
        <v/>
      </c>
      <c r="Z43" s="16" t="str">
        <f aca="false">IF(OR($B43="",Z$4=""),"",IF(UPPER(TRIM(JAWABAN!Z43))=Z$4,1,0))</f>
        <v/>
      </c>
      <c r="AA43" s="16" t="str">
        <f aca="false">IF(OR($B43="",AA$4=""),"",IF(UPPER(TRIM(JAWABAN!AA43))=AA$4,1,0))</f>
        <v/>
      </c>
      <c r="AB43" s="16" t="str">
        <f aca="false">IF(OR($B43="",AB$4=""),"",IF(UPPER(TRIM(JAWABAN!AB43))=AB$4,1,0))</f>
        <v/>
      </c>
      <c r="AC43" s="16" t="str">
        <f aca="false">IF(OR($B43="",AC$4=""),"",IF(UPPER(TRIM(JAWABAN!AC43))=AC$4,1,0))</f>
        <v/>
      </c>
      <c r="AD43" s="16" t="str">
        <f aca="false">IF(OR($B43="",AD$4=""),"",IF(UPPER(TRIM(JAWABAN!AD43))=AD$4,1,0))</f>
        <v/>
      </c>
      <c r="AE43" s="16" t="str">
        <f aca="false">IF(OR($B43="",AE$4=""),"",IF(UPPER(TRIM(JAWABAN!AE43))=AE$4,1,0))</f>
        <v/>
      </c>
      <c r="AF43" s="16" t="str">
        <f aca="false">IF(OR($B43="",AF$4=""),"",IF(UPPER(TRIM(JAWABAN!AF43))=AF$4,1,0))</f>
        <v/>
      </c>
      <c r="AG43" s="16" t="str">
        <f aca="false">IF(OR($B43="",AG$4=""),"",IF(UPPER(TRIM(JAWABAN!AG43))=AG$4,1,0))</f>
        <v/>
      </c>
      <c r="AH43" s="16" t="str">
        <f aca="false">IF(OR($B43="",AH$4=""),"",IF(UPPER(TRIM(JAWABAN!AH43))=AH$4,1,0))</f>
        <v/>
      </c>
      <c r="AI43" s="16" t="str">
        <f aca="false">IF(OR($B43="",AI$4=""),"",IF(UPPER(TRIM(JAWABAN!AI43))=AI$4,1,0))</f>
        <v/>
      </c>
      <c r="AJ43" s="16" t="str">
        <f aca="false">IF(OR($B43="",AJ$4=""),"",IF(UPPER(TRIM(JAWABAN!AJ43))=AJ$4,1,0))</f>
        <v/>
      </c>
      <c r="AK43" s="16" t="str">
        <f aca="false">IF(OR($B43="",AK$4=""),"",IF(UPPER(TRIM(JAWABAN!AK43))=AK$4,1,0))</f>
        <v/>
      </c>
      <c r="AL43" s="16" t="str">
        <f aca="false">IF(OR($B43="",AL$4=""),"",IF(UPPER(TRIM(JAWABAN!AL43))=AL$4,1,0))</f>
        <v/>
      </c>
      <c r="AM43" s="16" t="str">
        <f aca="false">IF(OR($B43="",AM$4=""),"",IF(UPPER(TRIM(JAWABAN!AM43))=AM$4,1,0))</f>
        <v/>
      </c>
      <c r="AN43" s="16" t="str">
        <f aca="false">IF(OR($B43="",AN$4=""),"",IF(UPPER(TRIM(JAWABAN!AN43))=AN$4,1,0))</f>
        <v/>
      </c>
      <c r="AO43" s="16" t="str">
        <f aca="false">IF(OR($B43="",AO$4=""),"",IF(UPPER(TRIM(JAWABAN!AO43))=AO$4,1,0))</f>
        <v/>
      </c>
      <c r="AP43" s="16" t="str">
        <f aca="false">IF(OR($B43="",AP$4=""),"",IF(UPPER(TRIM(JAWABAN!AP43))=AP$4,1,0))</f>
        <v/>
      </c>
      <c r="AQ43" s="16" t="str">
        <f aca="false">IF(OR($B43="",AQ$4=""),"",IF(UPPER(TRIM(JAWABAN!AQ43))=AQ$4,1,0))</f>
        <v/>
      </c>
      <c r="AR43" s="16" t="str">
        <f aca="false">IF(OR($B43="",AR$4=""),"",IF(UPPER(TRIM(JAWABAN!AR43))=AR$4,1,0))</f>
        <v/>
      </c>
      <c r="AS43" s="30" t="str">
        <f aca="false">IF($B43="","",SUM(E43:AR43))</f>
        <v/>
      </c>
      <c r="AT43" s="31" t="str">
        <f aca="false">IF(AS43="","",IFERROR(ROUND(AS43/K_SOAL*100,2),""))</f>
        <v/>
      </c>
      <c r="AU43" s="16" t="str">
        <f aca="false">IF(AT43="","",IF(AT43&gt;=NILAI_KKM,"Tuntas","Belum tuntas"))</f>
        <v/>
      </c>
      <c r="AV43" s="32" t="str">
        <f aca="false">IF(AS43="","",AS43+(1000-ROW())/100000)</f>
        <v/>
      </c>
      <c r="AW43" s="33" t="str">
        <f aca="false">IF(AV43="","",RANK(AV43,$AV$6:$AV$55))</f>
        <v/>
      </c>
      <c r="AX43" s="30" t="str">
        <f aca="false">IF(AS43="","",RANK(AS43,$AS$6:$AS$55))</f>
        <v/>
      </c>
      <c r="AY43" s="16" t="str">
        <f aca="false">IF(AW43="","",IF(AW43&lt;=N_GRUP,"Atas",IF(AW43&gt;N_SISWA-N_GRUP,"Bawah","Tengah")))</f>
        <v/>
      </c>
    </row>
    <row r="44" customFormat="false" ht="15" hidden="false" customHeight="true" outlineLevel="0" collapsed="false">
      <c r="A44" s="16" t="n">
        <v>39</v>
      </c>
      <c r="B44" s="20" t="str">
        <f aca="false">IF(JAWABAN!B44="","",JAWABAN!B44)</f>
        <v/>
      </c>
      <c r="C44" s="20" t="str">
        <f aca="false">IF(JAWABAN!C44="","",JAWABAN!C44)</f>
        <v/>
      </c>
      <c r="D44" s="29" t="str">
        <f aca="false">IF(JAWABAN!D44="","",JAWABAN!D44)</f>
        <v/>
      </c>
      <c r="E44" s="16" t="str">
        <f aca="false">IF(OR($B44="",E$4=""),"",IF(UPPER(TRIM(JAWABAN!E44))=E$4,1,0))</f>
        <v/>
      </c>
      <c r="F44" s="16" t="str">
        <f aca="false">IF(OR($B44="",F$4=""),"",IF(UPPER(TRIM(JAWABAN!F44))=F$4,1,0))</f>
        <v/>
      </c>
      <c r="G44" s="16" t="str">
        <f aca="false">IF(OR($B44="",G$4=""),"",IF(UPPER(TRIM(JAWABAN!G44))=G$4,1,0))</f>
        <v/>
      </c>
      <c r="H44" s="16" t="str">
        <f aca="false">IF(OR($B44="",H$4=""),"",IF(UPPER(TRIM(JAWABAN!H44))=H$4,1,0))</f>
        <v/>
      </c>
      <c r="I44" s="16" t="str">
        <f aca="false">IF(OR($B44="",I$4=""),"",IF(UPPER(TRIM(JAWABAN!I44))=I$4,1,0))</f>
        <v/>
      </c>
      <c r="J44" s="16" t="str">
        <f aca="false">IF(OR($B44="",J$4=""),"",IF(UPPER(TRIM(JAWABAN!J44))=J$4,1,0))</f>
        <v/>
      </c>
      <c r="K44" s="16" t="str">
        <f aca="false">IF(OR($B44="",K$4=""),"",IF(UPPER(TRIM(JAWABAN!K44))=K$4,1,0))</f>
        <v/>
      </c>
      <c r="L44" s="16" t="str">
        <f aca="false">IF(OR($B44="",L$4=""),"",IF(UPPER(TRIM(JAWABAN!L44))=L$4,1,0))</f>
        <v/>
      </c>
      <c r="M44" s="16" t="str">
        <f aca="false">IF(OR($B44="",M$4=""),"",IF(UPPER(TRIM(JAWABAN!M44))=M$4,1,0))</f>
        <v/>
      </c>
      <c r="N44" s="16" t="str">
        <f aca="false">IF(OR($B44="",N$4=""),"",IF(UPPER(TRIM(JAWABAN!N44))=N$4,1,0))</f>
        <v/>
      </c>
      <c r="O44" s="16" t="str">
        <f aca="false">IF(OR($B44="",O$4=""),"",IF(UPPER(TRIM(JAWABAN!O44))=O$4,1,0))</f>
        <v/>
      </c>
      <c r="P44" s="16" t="str">
        <f aca="false">IF(OR($B44="",P$4=""),"",IF(UPPER(TRIM(JAWABAN!P44))=P$4,1,0))</f>
        <v/>
      </c>
      <c r="Q44" s="16" t="str">
        <f aca="false">IF(OR($B44="",Q$4=""),"",IF(UPPER(TRIM(JAWABAN!Q44))=Q$4,1,0))</f>
        <v/>
      </c>
      <c r="R44" s="16" t="str">
        <f aca="false">IF(OR($B44="",R$4=""),"",IF(UPPER(TRIM(JAWABAN!R44))=R$4,1,0))</f>
        <v/>
      </c>
      <c r="S44" s="16" t="str">
        <f aca="false">IF(OR($B44="",S$4=""),"",IF(UPPER(TRIM(JAWABAN!S44))=S$4,1,0))</f>
        <v/>
      </c>
      <c r="T44" s="16" t="str">
        <f aca="false">IF(OR($B44="",T$4=""),"",IF(UPPER(TRIM(JAWABAN!T44))=T$4,1,0))</f>
        <v/>
      </c>
      <c r="U44" s="16" t="str">
        <f aca="false">IF(OR($B44="",U$4=""),"",IF(UPPER(TRIM(JAWABAN!U44))=U$4,1,0))</f>
        <v/>
      </c>
      <c r="V44" s="16" t="str">
        <f aca="false">IF(OR($B44="",V$4=""),"",IF(UPPER(TRIM(JAWABAN!V44))=V$4,1,0))</f>
        <v/>
      </c>
      <c r="W44" s="16" t="str">
        <f aca="false">IF(OR($B44="",W$4=""),"",IF(UPPER(TRIM(JAWABAN!W44))=W$4,1,0))</f>
        <v/>
      </c>
      <c r="X44" s="16" t="str">
        <f aca="false">IF(OR($B44="",X$4=""),"",IF(UPPER(TRIM(JAWABAN!X44))=X$4,1,0))</f>
        <v/>
      </c>
      <c r="Y44" s="16" t="str">
        <f aca="false">IF(OR($B44="",Y$4=""),"",IF(UPPER(TRIM(JAWABAN!Y44))=Y$4,1,0))</f>
        <v/>
      </c>
      <c r="Z44" s="16" t="str">
        <f aca="false">IF(OR($B44="",Z$4=""),"",IF(UPPER(TRIM(JAWABAN!Z44))=Z$4,1,0))</f>
        <v/>
      </c>
      <c r="AA44" s="16" t="str">
        <f aca="false">IF(OR($B44="",AA$4=""),"",IF(UPPER(TRIM(JAWABAN!AA44))=AA$4,1,0))</f>
        <v/>
      </c>
      <c r="AB44" s="16" t="str">
        <f aca="false">IF(OR($B44="",AB$4=""),"",IF(UPPER(TRIM(JAWABAN!AB44))=AB$4,1,0))</f>
        <v/>
      </c>
      <c r="AC44" s="16" t="str">
        <f aca="false">IF(OR($B44="",AC$4=""),"",IF(UPPER(TRIM(JAWABAN!AC44))=AC$4,1,0))</f>
        <v/>
      </c>
      <c r="AD44" s="16" t="str">
        <f aca="false">IF(OR($B44="",AD$4=""),"",IF(UPPER(TRIM(JAWABAN!AD44))=AD$4,1,0))</f>
        <v/>
      </c>
      <c r="AE44" s="16" t="str">
        <f aca="false">IF(OR($B44="",AE$4=""),"",IF(UPPER(TRIM(JAWABAN!AE44))=AE$4,1,0))</f>
        <v/>
      </c>
      <c r="AF44" s="16" t="str">
        <f aca="false">IF(OR($B44="",AF$4=""),"",IF(UPPER(TRIM(JAWABAN!AF44))=AF$4,1,0))</f>
        <v/>
      </c>
      <c r="AG44" s="16" t="str">
        <f aca="false">IF(OR($B44="",AG$4=""),"",IF(UPPER(TRIM(JAWABAN!AG44))=AG$4,1,0))</f>
        <v/>
      </c>
      <c r="AH44" s="16" t="str">
        <f aca="false">IF(OR($B44="",AH$4=""),"",IF(UPPER(TRIM(JAWABAN!AH44))=AH$4,1,0))</f>
        <v/>
      </c>
      <c r="AI44" s="16" t="str">
        <f aca="false">IF(OR($B44="",AI$4=""),"",IF(UPPER(TRIM(JAWABAN!AI44))=AI$4,1,0))</f>
        <v/>
      </c>
      <c r="AJ44" s="16" t="str">
        <f aca="false">IF(OR($B44="",AJ$4=""),"",IF(UPPER(TRIM(JAWABAN!AJ44))=AJ$4,1,0))</f>
        <v/>
      </c>
      <c r="AK44" s="16" t="str">
        <f aca="false">IF(OR($B44="",AK$4=""),"",IF(UPPER(TRIM(JAWABAN!AK44))=AK$4,1,0))</f>
        <v/>
      </c>
      <c r="AL44" s="16" t="str">
        <f aca="false">IF(OR($B44="",AL$4=""),"",IF(UPPER(TRIM(JAWABAN!AL44))=AL$4,1,0))</f>
        <v/>
      </c>
      <c r="AM44" s="16" t="str">
        <f aca="false">IF(OR($B44="",AM$4=""),"",IF(UPPER(TRIM(JAWABAN!AM44))=AM$4,1,0))</f>
        <v/>
      </c>
      <c r="AN44" s="16" t="str">
        <f aca="false">IF(OR($B44="",AN$4=""),"",IF(UPPER(TRIM(JAWABAN!AN44))=AN$4,1,0))</f>
        <v/>
      </c>
      <c r="AO44" s="16" t="str">
        <f aca="false">IF(OR($B44="",AO$4=""),"",IF(UPPER(TRIM(JAWABAN!AO44))=AO$4,1,0))</f>
        <v/>
      </c>
      <c r="AP44" s="16" t="str">
        <f aca="false">IF(OR($B44="",AP$4=""),"",IF(UPPER(TRIM(JAWABAN!AP44))=AP$4,1,0))</f>
        <v/>
      </c>
      <c r="AQ44" s="16" t="str">
        <f aca="false">IF(OR($B44="",AQ$4=""),"",IF(UPPER(TRIM(JAWABAN!AQ44))=AQ$4,1,0))</f>
        <v/>
      </c>
      <c r="AR44" s="16" t="str">
        <f aca="false">IF(OR($B44="",AR$4=""),"",IF(UPPER(TRIM(JAWABAN!AR44))=AR$4,1,0))</f>
        <v/>
      </c>
      <c r="AS44" s="30" t="str">
        <f aca="false">IF($B44="","",SUM(E44:AR44))</f>
        <v/>
      </c>
      <c r="AT44" s="31" t="str">
        <f aca="false">IF(AS44="","",IFERROR(ROUND(AS44/K_SOAL*100,2),""))</f>
        <v/>
      </c>
      <c r="AU44" s="16" t="str">
        <f aca="false">IF(AT44="","",IF(AT44&gt;=NILAI_KKM,"Tuntas","Belum tuntas"))</f>
        <v/>
      </c>
      <c r="AV44" s="32" t="str">
        <f aca="false">IF(AS44="","",AS44+(1000-ROW())/100000)</f>
        <v/>
      </c>
      <c r="AW44" s="33" t="str">
        <f aca="false">IF(AV44="","",RANK(AV44,$AV$6:$AV$55))</f>
        <v/>
      </c>
      <c r="AX44" s="30" t="str">
        <f aca="false">IF(AS44="","",RANK(AS44,$AS$6:$AS$55))</f>
        <v/>
      </c>
      <c r="AY44" s="16" t="str">
        <f aca="false">IF(AW44="","",IF(AW44&lt;=N_GRUP,"Atas",IF(AW44&gt;N_SISWA-N_GRUP,"Bawah","Tengah")))</f>
        <v/>
      </c>
    </row>
    <row r="45" customFormat="false" ht="15" hidden="false" customHeight="true" outlineLevel="0" collapsed="false">
      <c r="A45" s="16" t="n">
        <v>40</v>
      </c>
      <c r="B45" s="20" t="str">
        <f aca="false">IF(JAWABAN!B45="","",JAWABAN!B45)</f>
        <v/>
      </c>
      <c r="C45" s="20" t="str">
        <f aca="false">IF(JAWABAN!C45="","",JAWABAN!C45)</f>
        <v/>
      </c>
      <c r="D45" s="29" t="str">
        <f aca="false">IF(JAWABAN!D45="","",JAWABAN!D45)</f>
        <v/>
      </c>
      <c r="E45" s="16" t="str">
        <f aca="false">IF(OR($B45="",E$4=""),"",IF(UPPER(TRIM(JAWABAN!E45))=E$4,1,0))</f>
        <v/>
      </c>
      <c r="F45" s="16" t="str">
        <f aca="false">IF(OR($B45="",F$4=""),"",IF(UPPER(TRIM(JAWABAN!F45))=F$4,1,0))</f>
        <v/>
      </c>
      <c r="G45" s="16" t="str">
        <f aca="false">IF(OR($B45="",G$4=""),"",IF(UPPER(TRIM(JAWABAN!G45))=G$4,1,0))</f>
        <v/>
      </c>
      <c r="H45" s="16" t="str">
        <f aca="false">IF(OR($B45="",H$4=""),"",IF(UPPER(TRIM(JAWABAN!H45))=H$4,1,0))</f>
        <v/>
      </c>
      <c r="I45" s="16" t="str">
        <f aca="false">IF(OR($B45="",I$4=""),"",IF(UPPER(TRIM(JAWABAN!I45))=I$4,1,0))</f>
        <v/>
      </c>
      <c r="J45" s="16" t="str">
        <f aca="false">IF(OR($B45="",J$4=""),"",IF(UPPER(TRIM(JAWABAN!J45))=J$4,1,0))</f>
        <v/>
      </c>
      <c r="K45" s="16" t="str">
        <f aca="false">IF(OR($B45="",K$4=""),"",IF(UPPER(TRIM(JAWABAN!K45))=K$4,1,0))</f>
        <v/>
      </c>
      <c r="L45" s="16" t="str">
        <f aca="false">IF(OR($B45="",L$4=""),"",IF(UPPER(TRIM(JAWABAN!L45))=L$4,1,0))</f>
        <v/>
      </c>
      <c r="M45" s="16" t="str">
        <f aca="false">IF(OR($B45="",M$4=""),"",IF(UPPER(TRIM(JAWABAN!M45))=M$4,1,0))</f>
        <v/>
      </c>
      <c r="N45" s="16" t="str">
        <f aca="false">IF(OR($B45="",N$4=""),"",IF(UPPER(TRIM(JAWABAN!N45))=N$4,1,0))</f>
        <v/>
      </c>
      <c r="O45" s="16" t="str">
        <f aca="false">IF(OR($B45="",O$4=""),"",IF(UPPER(TRIM(JAWABAN!O45))=O$4,1,0))</f>
        <v/>
      </c>
      <c r="P45" s="16" t="str">
        <f aca="false">IF(OR($B45="",P$4=""),"",IF(UPPER(TRIM(JAWABAN!P45))=P$4,1,0))</f>
        <v/>
      </c>
      <c r="Q45" s="16" t="str">
        <f aca="false">IF(OR($B45="",Q$4=""),"",IF(UPPER(TRIM(JAWABAN!Q45))=Q$4,1,0))</f>
        <v/>
      </c>
      <c r="R45" s="16" t="str">
        <f aca="false">IF(OR($B45="",R$4=""),"",IF(UPPER(TRIM(JAWABAN!R45))=R$4,1,0))</f>
        <v/>
      </c>
      <c r="S45" s="16" t="str">
        <f aca="false">IF(OR($B45="",S$4=""),"",IF(UPPER(TRIM(JAWABAN!S45))=S$4,1,0))</f>
        <v/>
      </c>
      <c r="T45" s="16" t="str">
        <f aca="false">IF(OR($B45="",T$4=""),"",IF(UPPER(TRIM(JAWABAN!T45))=T$4,1,0))</f>
        <v/>
      </c>
      <c r="U45" s="16" t="str">
        <f aca="false">IF(OR($B45="",U$4=""),"",IF(UPPER(TRIM(JAWABAN!U45))=U$4,1,0))</f>
        <v/>
      </c>
      <c r="V45" s="16" t="str">
        <f aca="false">IF(OR($B45="",V$4=""),"",IF(UPPER(TRIM(JAWABAN!V45))=V$4,1,0))</f>
        <v/>
      </c>
      <c r="W45" s="16" t="str">
        <f aca="false">IF(OR($B45="",W$4=""),"",IF(UPPER(TRIM(JAWABAN!W45))=W$4,1,0))</f>
        <v/>
      </c>
      <c r="X45" s="16" t="str">
        <f aca="false">IF(OR($B45="",X$4=""),"",IF(UPPER(TRIM(JAWABAN!X45))=X$4,1,0))</f>
        <v/>
      </c>
      <c r="Y45" s="16" t="str">
        <f aca="false">IF(OR($B45="",Y$4=""),"",IF(UPPER(TRIM(JAWABAN!Y45))=Y$4,1,0))</f>
        <v/>
      </c>
      <c r="Z45" s="16" t="str">
        <f aca="false">IF(OR($B45="",Z$4=""),"",IF(UPPER(TRIM(JAWABAN!Z45))=Z$4,1,0))</f>
        <v/>
      </c>
      <c r="AA45" s="16" t="str">
        <f aca="false">IF(OR($B45="",AA$4=""),"",IF(UPPER(TRIM(JAWABAN!AA45))=AA$4,1,0))</f>
        <v/>
      </c>
      <c r="AB45" s="16" t="str">
        <f aca="false">IF(OR($B45="",AB$4=""),"",IF(UPPER(TRIM(JAWABAN!AB45))=AB$4,1,0))</f>
        <v/>
      </c>
      <c r="AC45" s="16" t="str">
        <f aca="false">IF(OR($B45="",AC$4=""),"",IF(UPPER(TRIM(JAWABAN!AC45))=AC$4,1,0))</f>
        <v/>
      </c>
      <c r="AD45" s="16" t="str">
        <f aca="false">IF(OR($B45="",AD$4=""),"",IF(UPPER(TRIM(JAWABAN!AD45))=AD$4,1,0))</f>
        <v/>
      </c>
      <c r="AE45" s="16" t="str">
        <f aca="false">IF(OR($B45="",AE$4=""),"",IF(UPPER(TRIM(JAWABAN!AE45))=AE$4,1,0))</f>
        <v/>
      </c>
      <c r="AF45" s="16" t="str">
        <f aca="false">IF(OR($B45="",AF$4=""),"",IF(UPPER(TRIM(JAWABAN!AF45))=AF$4,1,0))</f>
        <v/>
      </c>
      <c r="AG45" s="16" t="str">
        <f aca="false">IF(OR($B45="",AG$4=""),"",IF(UPPER(TRIM(JAWABAN!AG45))=AG$4,1,0))</f>
        <v/>
      </c>
      <c r="AH45" s="16" t="str">
        <f aca="false">IF(OR($B45="",AH$4=""),"",IF(UPPER(TRIM(JAWABAN!AH45))=AH$4,1,0))</f>
        <v/>
      </c>
      <c r="AI45" s="16" t="str">
        <f aca="false">IF(OR($B45="",AI$4=""),"",IF(UPPER(TRIM(JAWABAN!AI45))=AI$4,1,0))</f>
        <v/>
      </c>
      <c r="AJ45" s="16" t="str">
        <f aca="false">IF(OR($B45="",AJ$4=""),"",IF(UPPER(TRIM(JAWABAN!AJ45))=AJ$4,1,0))</f>
        <v/>
      </c>
      <c r="AK45" s="16" t="str">
        <f aca="false">IF(OR($B45="",AK$4=""),"",IF(UPPER(TRIM(JAWABAN!AK45))=AK$4,1,0))</f>
        <v/>
      </c>
      <c r="AL45" s="16" t="str">
        <f aca="false">IF(OR($B45="",AL$4=""),"",IF(UPPER(TRIM(JAWABAN!AL45))=AL$4,1,0))</f>
        <v/>
      </c>
      <c r="AM45" s="16" t="str">
        <f aca="false">IF(OR($B45="",AM$4=""),"",IF(UPPER(TRIM(JAWABAN!AM45))=AM$4,1,0))</f>
        <v/>
      </c>
      <c r="AN45" s="16" t="str">
        <f aca="false">IF(OR($B45="",AN$4=""),"",IF(UPPER(TRIM(JAWABAN!AN45))=AN$4,1,0))</f>
        <v/>
      </c>
      <c r="AO45" s="16" t="str">
        <f aca="false">IF(OR($B45="",AO$4=""),"",IF(UPPER(TRIM(JAWABAN!AO45))=AO$4,1,0))</f>
        <v/>
      </c>
      <c r="AP45" s="16" t="str">
        <f aca="false">IF(OR($B45="",AP$4=""),"",IF(UPPER(TRIM(JAWABAN!AP45))=AP$4,1,0))</f>
        <v/>
      </c>
      <c r="AQ45" s="16" t="str">
        <f aca="false">IF(OR($B45="",AQ$4=""),"",IF(UPPER(TRIM(JAWABAN!AQ45))=AQ$4,1,0))</f>
        <v/>
      </c>
      <c r="AR45" s="16" t="str">
        <f aca="false">IF(OR($B45="",AR$4=""),"",IF(UPPER(TRIM(JAWABAN!AR45))=AR$4,1,0))</f>
        <v/>
      </c>
      <c r="AS45" s="30" t="str">
        <f aca="false">IF($B45="","",SUM(E45:AR45))</f>
        <v/>
      </c>
      <c r="AT45" s="31" t="str">
        <f aca="false">IF(AS45="","",IFERROR(ROUND(AS45/K_SOAL*100,2),""))</f>
        <v/>
      </c>
      <c r="AU45" s="16" t="str">
        <f aca="false">IF(AT45="","",IF(AT45&gt;=NILAI_KKM,"Tuntas","Belum tuntas"))</f>
        <v/>
      </c>
      <c r="AV45" s="32" t="str">
        <f aca="false">IF(AS45="","",AS45+(1000-ROW())/100000)</f>
        <v/>
      </c>
      <c r="AW45" s="33" t="str">
        <f aca="false">IF(AV45="","",RANK(AV45,$AV$6:$AV$55))</f>
        <v/>
      </c>
      <c r="AX45" s="30" t="str">
        <f aca="false">IF(AS45="","",RANK(AS45,$AS$6:$AS$55))</f>
        <v/>
      </c>
      <c r="AY45" s="16" t="str">
        <f aca="false">IF(AW45="","",IF(AW45&lt;=N_GRUP,"Atas",IF(AW45&gt;N_SISWA-N_GRUP,"Bawah","Tengah")))</f>
        <v/>
      </c>
    </row>
    <row r="46" customFormat="false" ht="15" hidden="false" customHeight="true" outlineLevel="0" collapsed="false">
      <c r="A46" s="16" t="n">
        <v>41</v>
      </c>
      <c r="B46" s="20" t="str">
        <f aca="false">IF(JAWABAN!B46="","",JAWABAN!B46)</f>
        <v/>
      </c>
      <c r="C46" s="20" t="str">
        <f aca="false">IF(JAWABAN!C46="","",JAWABAN!C46)</f>
        <v/>
      </c>
      <c r="D46" s="29" t="str">
        <f aca="false">IF(JAWABAN!D46="","",JAWABAN!D46)</f>
        <v/>
      </c>
      <c r="E46" s="16" t="str">
        <f aca="false">IF(OR($B46="",E$4=""),"",IF(UPPER(TRIM(JAWABAN!E46))=E$4,1,0))</f>
        <v/>
      </c>
      <c r="F46" s="16" t="str">
        <f aca="false">IF(OR($B46="",F$4=""),"",IF(UPPER(TRIM(JAWABAN!F46))=F$4,1,0))</f>
        <v/>
      </c>
      <c r="G46" s="16" t="str">
        <f aca="false">IF(OR($B46="",G$4=""),"",IF(UPPER(TRIM(JAWABAN!G46))=G$4,1,0))</f>
        <v/>
      </c>
      <c r="H46" s="16" t="str">
        <f aca="false">IF(OR($B46="",H$4=""),"",IF(UPPER(TRIM(JAWABAN!H46))=H$4,1,0))</f>
        <v/>
      </c>
      <c r="I46" s="16" t="str">
        <f aca="false">IF(OR($B46="",I$4=""),"",IF(UPPER(TRIM(JAWABAN!I46))=I$4,1,0))</f>
        <v/>
      </c>
      <c r="J46" s="16" t="str">
        <f aca="false">IF(OR($B46="",J$4=""),"",IF(UPPER(TRIM(JAWABAN!J46))=J$4,1,0))</f>
        <v/>
      </c>
      <c r="K46" s="16" t="str">
        <f aca="false">IF(OR($B46="",K$4=""),"",IF(UPPER(TRIM(JAWABAN!K46))=K$4,1,0))</f>
        <v/>
      </c>
      <c r="L46" s="16" t="str">
        <f aca="false">IF(OR($B46="",L$4=""),"",IF(UPPER(TRIM(JAWABAN!L46))=L$4,1,0))</f>
        <v/>
      </c>
      <c r="M46" s="16" t="str">
        <f aca="false">IF(OR($B46="",M$4=""),"",IF(UPPER(TRIM(JAWABAN!M46))=M$4,1,0))</f>
        <v/>
      </c>
      <c r="N46" s="16" t="str">
        <f aca="false">IF(OR($B46="",N$4=""),"",IF(UPPER(TRIM(JAWABAN!N46))=N$4,1,0))</f>
        <v/>
      </c>
      <c r="O46" s="16" t="str">
        <f aca="false">IF(OR($B46="",O$4=""),"",IF(UPPER(TRIM(JAWABAN!O46))=O$4,1,0))</f>
        <v/>
      </c>
      <c r="P46" s="16" t="str">
        <f aca="false">IF(OR($B46="",P$4=""),"",IF(UPPER(TRIM(JAWABAN!P46))=P$4,1,0))</f>
        <v/>
      </c>
      <c r="Q46" s="16" t="str">
        <f aca="false">IF(OR($B46="",Q$4=""),"",IF(UPPER(TRIM(JAWABAN!Q46))=Q$4,1,0))</f>
        <v/>
      </c>
      <c r="R46" s="16" t="str">
        <f aca="false">IF(OR($B46="",R$4=""),"",IF(UPPER(TRIM(JAWABAN!R46))=R$4,1,0))</f>
        <v/>
      </c>
      <c r="S46" s="16" t="str">
        <f aca="false">IF(OR($B46="",S$4=""),"",IF(UPPER(TRIM(JAWABAN!S46))=S$4,1,0))</f>
        <v/>
      </c>
      <c r="T46" s="16" t="str">
        <f aca="false">IF(OR($B46="",T$4=""),"",IF(UPPER(TRIM(JAWABAN!T46))=T$4,1,0))</f>
        <v/>
      </c>
      <c r="U46" s="16" t="str">
        <f aca="false">IF(OR($B46="",U$4=""),"",IF(UPPER(TRIM(JAWABAN!U46))=U$4,1,0))</f>
        <v/>
      </c>
      <c r="V46" s="16" t="str">
        <f aca="false">IF(OR($B46="",V$4=""),"",IF(UPPER(TRIM(JAWABAN!V46))=V$4,1,0))</f>
        <v/>
      </c>
      <c r="W46" s="16" t="str">
        <f aca="false">IF(OR($B46="",W$4=""),"",IF(UPPER(TRIM(JAWABAN!W46))=W$4,1,0))</f>
        <v/>
      </c>
      <c r="X46" s="16" t="str">
        <f aca="false">IF(OR($B46="",X$4=""),"",IF(UPPER(TRIM(JAWABAN!X46))=X$4,1,0))</f>
        <v/>
      </c>
      <c r="Y46" s="16" t="str">
        <f aca="false">IF(OR($B46="",Y$4=""),"",IF(UPPER(TRIM(JAWABAN!Y46))=Y$4,1,0))</f>
        <v/>
      </c>
      <c r="Z46" s="16" t="str">
        <f aca="false">IF(OR($B46="",Z$4=""),"",IF(UPPER(TRIM(JAWABAN!Z46))=Z$4,1,0))</f>
        <v/>
      </c>
      <c r="AA46" s="16" t="str">
        <f aca="false">IF(OR($B46="",AA$4=""),"",IF(UPPER(TRIM(JAWABAN!AA46))=AA$4,1,0))</f>
        <v/>
      </c>
      <c r="AB46" s="16" t="str">
        <f aca="false">IF(OR($B46="",AB$4=""),"",IF(UPPER(TRIM(JAWABAN!AB46))=AB$4,1,0))</f>
        <v/>
      </c>
      <c r="AC46" s="16" t="str">
        <f aca="false">IF(OR($B46="",AC$4=""),"",IF(UPPER(TRIM(JAWABAN!AC46))=AC$4,1,0))</f>
        <v/>
      </c>
      <c r="AD46" s="16" t="str">
        <f aca="false">IF(OR($B46="",AD$4=""),"",IF(UPPER(TRIM(JAWABAN!AD46))=AD$4,1,0))</f>
        <v/>
      </c>
      <c r="AE46" s="16" t="str">
        <f aca="false">IF(OR($B46="",AE$4=""),"",IF(UPPER(TRIM(JAWABAN!AE46))=AE$4,1,0))</f>
        <v/>
      </c>
      <c r="AF46" s="16" t="str">
        <f aca="false">IF(OR($B46="",AF$4=""),"",IF(UPPER(TRIM(JAWABAN!AF46))=AF$4,1,0))</f>
        <v/>
      </c>
      <c r="AG46" s="16" t="str">
        <f aca="false">IF(OR($B46="",AG$4=""),"",IF(UPPER(TRIM(JAWABAN!AG46))=AG$4,1,0))</f>
        <v/>
      </c>
      <c r="AH46" s="16" t="str">
        <f aca="false">IF(OR($B46="",AH$4=""),"",IF(UPPER(TRIM(JAWABAN!AH46))=AH$4,1,0))</f>
        <v/>
      </c>
      <c r="AI46" s="16" t="str">
        <f aca="false">IF(OR($B46="",AI$4=""),"",IF(UPPER(TRIM(JAWABAN!AI46))=AI$4,1,0))</f>
        <v/>
      </c>
      <c r="AJ46" s="16" t="str">
        <f aca="false">IF(OR($B46="",AJ$4=""),"",IF(UPPER(TRIM(JAWABAN!AJ46))=AJ$4,1,0))</f>
        <v/>
      </c>
      <c r="AK46" s="16" t="str">
        <f aca="false">IF(OR($B46="",AK$4=""),"",IF(UPPER(TRIM(JAWABAN!AK46))=AK$4,1,0))</f>
        <v/>
      </c>
      <c r="AL46" s="16" t="str">
        <f aca="false">IF(OR($B46="",AL$4=""),"",IF(UPPER(TRIM(JAWABAN!AL46))=AL$4,1,0))</f>
        <v/>
      </c>
      <c r="AM46" s="16" t="str">
        <f aca="false">IF(OR($B46="",AM$4=""),"",IF(UPPER(TRIM(JAWABAN!AM46))=AM$4,1,0))</f>
        <v/>
      </c>
      <c r="AN46" s="16" t="str">
        <f aca="false">IF(OR($B46="",AN$4=""),"",IF(UPPER(TRIM(JAWABAN!AN46))=AN$4,1,0))</f>
        <v/>
      </c>
      <c r="AO46" s="16" t="str">
        <f aca="false">IF(OR($B46="",AO$4=""),"",IF(UPPER(TRIM(JAWABAN!AO46))=AO$4,1,0))</f>
        <v/>
      </c>
      <c r="AP46" s="16" t="str">
        <f aca="false">IF(OR($B46="",AP$4=""),"",IF(UPPER(TRIM(JAWABAN!AP46))=AP$4,1,0))</f>
        <v/>
      </c>
      <c r="AQ46" s="16" t="str">
        <f aca="false">IF(OR($B46="",AQ$4=""),"",IF(UPPER(TRIM(JAWABAN!AQ46))=AQ$4,1,0))</f>
        <v/>
      </c>
      <c r="AR46" s="16" t="str">
        <f aca="false">IF(OR($B46="",AR$4=""),"",IF(UPPER(TRIM(JAWABAN!AR46))=AR$4,1,0))</f>
        <v/>
      </c>
      <c r="AS46" s="30" t="str">
        <f aca="false">IF($B46="","",SUM(E46:AR46))</f>
        <v/>
      </c>
      <c r="AT46" s="31" t="str">
        <f aca="false">IF(AS46="","",IFERROR(ROUND(AS46/K_SOAL*100,2),""))</f>
        <v/>
      </c>
      <c r="AU46" s="16" t="str">
        <f aca="false">IF(AT46="","",IF(AT46&gt;=NILAI_KKM,"Tuntas","Belum tuntas"))</f>
        <v/>
      </c>
      <c r="AV46" s="32" t="str">
        <f aca="false">IF(AS46="","",AS46+(1000-ROW())/100000)</f>
        <v/>
      </c>
      <c r="AW46" s="33" t="str">
        <f aca="false">IF(AV46="","",RANK(AV46,$AV$6:$AV$55))</f>
        <v/>
      </c>
      <c r="AX46" s="30" t="str">
        <f aca="false">IF(AS46="","",RANK(AS46,$AS$6:$AS$55))</f>
        <v/>
      </c>
      <c r="AY46" s="16" t="str">
        <f aca="false">IF(AW46="","",IF(AW46&lt;=N_GRUP,"Atas",IF(AW46&gt;N_SISWA-N_GRUP,"Bawah","Tengah")))</f>
        <v/>
      </c>
    </row>
    <row r="47" customFormat="false" ht="15" hidden="false" customHeight="true" outlineLevel="0" collapsed="false">
      <c r="A47" s="16" t="n">
        <v>42</v>
      </c>
      <c r="B47" s="20" t="str">
        <f aca="false">IF(JAWABAN!B47="","",JAWABAN!B47)</f>
        <v/>
      </c>
      <c r="C47" s="20" t="str">
        <f aca="false">IF(JAWABAN!C47="","",JAWABAN!C47)</f>
        <v/>
      </c>
      <c r="D47" s="29" t="str">
        <f aca="false">IF(JAWABAN!D47="","",JAWABAN!D47)</f>
        <v/>
      </c>
      <c r="E47" s="16" t="str">
        <f aca="false">IF(OR($B47="",E$4=""),"",IF(UPPER(TRIM(JAWABAN!E47))=E$4,1,0))</f>
        <v/>
      </c>
      <c r="F47" s="16" t="str">
        <f aca="false">IF(OR($B47="",F$4=""),"",IF(UPPER(TRIM(JAWABAN!F47))=F$4,1,0))</f>
        <v/>
      </c>
      <c r="G47" s="16" t="str">
        <f aca="false">IF(OR($B47="",G$4=""),"",IF(UPPER(TRIM(JAWABAN!G47))=G$4,1,0))</f>
        <v/>
      </c>
      <c r="H47" s="16" t="str">
        <f aca="false">IF(OR($B47="",H$4=""),"",IF(UPPER(TRIM(JAWABAN!H47))=H$4,1,0))</f>
        <v/>
      </c>
      <c r="I47" s="16" t="str">
        <f aca="false">IF(OR($B47="",I$4=""),"",IF(UPPER(TRIM(JAWABAN!I47))=I$4,1,0))</f>
        <v/>
      </c>
      <c r="J47" s="16" t="str">
        <f aca="false">IF(OR($B47="",J$4=""),"",IF(UPPER(TRIM(JAWABAN!J47))=J$4,1,0))</f>
        <v/>
      </c>
      <c r="K47" s="16" t="str">
        <f aca="false">IF(OR($B47="",K$4=""),"",IF(UPPER(TRIM(JAWABAN!K47))=K$4,1,0))</f>
        <v/>
      </c>
      <c r="L47" s="16" t="str">
        <f aca="false">IF(OR($B47="",L$4=""),"",IF(UPPER(TRIM(JAWABAN!L47))=L$4,1,0))</f>
        <v/>
      </c>
      <c r="M47" s="16" t="str">
        <f aca="false">IF(OR($B47="",M$4=""),"",IF(UPPER(TRIM(JAWABAN!M47))=M$4,1,0))</f>
        <v/>
      </c>
      <c r="N47" s="16" t="str">
        <f aca="false">IF(OR($B47="",N$4=""),"",IF(UPPER(TRIM(JAWABAN!N47))=N$4,1,0))</f>
        <v/>
      </c>
      <c r="O47" s="16" t="str">
        <f aca="false">IF(OR($B47="",O$4=""),"",IF(UPPER(TRIM(JAWABAN!O47))=O$4,1,0))</f>
        <v/>
      </c>
      <c r="P47" s="16" t="str">
        <f aca="false">IF(OR($B47="",P$4=""),"",IF(UPPER(TRIM(JAWABAN!P47))=P$4,1,0))</f>
        <v/>
      </c>
      <c r="Q47" s="16" t="str">
        <f aca="false">IF(OR($B47="",Q$4=""),"",IF(UPPER(TRIM(JAWABAN!Q47))=Q$4,1,0))</f>
        <v/>
      </c>
      <c r="R47" s="16" t="str">
        <f aca="false">IF(OR($B47="",R$4=""),"",IF(UPPER(TRIM(JAWABAN!R47))=R$4,1,0))</f>
        <v/>
      </c>
      <c r="S47" s="16" t="str">
        <f aca="false">IF(OR($B47="",S$4=""),"",IF(UPPER(TRIM(JAWABAN!S47))=S$4,1,0))</f>
        <v/>
      </c>
      <c r="T47" s="16" t="str">
        <f aca="false">IF(OR($B47="",T$4=""),"",IF(UPPER(TRIM(JAWABAN!T47))=T$4,1,0))</f>
        <v/>
      </c>
      <c r="U47" s="16" t="str">
        <f aca="false">IF(OR($B47="",U$4=""),"",IF(UPPER(TRIM(JAWABAN!U47))=U$4,1,0))</f>
        <v/>
      </c>
      <c r="V47" s="16" t="str">
        <f aca="false">IF(OR($B47="",V$4=""),"",IF(UPPER(TRIM(JAWABAN!V47))=V$4,1,0))</f>
        <v/>
      </c>
      <c r="W47" s="16" t="str">
        <f aca="false">IF(OR($B47="",W$4=""),"",IF(UPPER(TRIM(JAWABAN!W47))=W$4,1,0))</f>
        <v/>
      </c>
      <c r="X47" s="16" t="str">
        <f aca="false">IF(OR($B47="",X$4=""),"",IF(UPPER(TRIM(JAWABAN!X47))=X$4,1,0))</f>
        <v/>
      </c>
      <c r="Y47" s="16" t="str">
        <f aca="false">IF(OR($B47="",Y$4=""),"",IF(UPPER(TRIM(JAWABAN!Y47))=Y$4,1,0))</f>
        <v/>
      </c>
      <c r="Z47" s="16" t="str">
        <f aca="false">IF(OR($B47="",Z$4=""),"",IF(UPPER(TRIM(JAWABAN!Z47))=Z$4,1,0))</f>
        <v/>
      </c>
      <c r="AA47" s="16" t="str">
        <f aca="false">IF(OR($B47="",AA$4=""),"",IF(UPPER(TRIM(JAWABAN!AA47))=AA$4,1,0))</f>
        <v/>
      </c>
      <c r="AB47" s="16" t="str">
        <f aca="false">IF(OR($B47="",AB$4=""),"",IF(UPPER(TRIM(JAWABAN!AB47))=AB$4,1,0))</f>
        <v/>
      </c>
      <c r="AC47" s="16" t="str">
        <f aca="false">IF(OR($B47="",AC$4=""),"",IF(UPPER(TRIM(JAWABAN!AC47))=AC$4,1,0))</f>
        <v/>
      </c>
      <c r="AD47" s="16" t="str">
        <f aca="false">IF(OR($B47="",AD$4=""),"",IF(UPPER(TRIM(JAWABAN!AD47))=AD$4,1,0))</f>
        <v/>
      </c>
      <c r="AE47" s="16" t="str">
        <f aca="false">IF(OR($B47="",AE$4=""),"",IF(UPPER(TRIM(JAWABAN!AE47))=AE$4,1,0))</f>
        <v/>
      </c>
      <c r="AF47" s="16" t="str">
        <f aca="false">IF(OR($B47="",AF$4=""),"",IF(UPPER(TRIM(JAWABAN!AF47))=AF$4,1,0))</f>
        <v/>
      </c>
      <c r="AG47" s="16" t="str">
        <f aca="false">IF(OR($B47="",AG$4=""),"",IF(UPPER(TRIM(JAWABAN!AG47))=AG$4,1,0))</f>
        <v/>
      </c>
      <c r="AH47" s="16" t="str">
        <f aca="false">IF(OR($B47="",AH$4=""),"",IF(UPPER(TRIM(JAWABAN!AH47))=AH$4,1,0))</f>
        <v/>
      </c>
      <c r="AI47" s="16" t="str">
        <f aca="false">IF(OR($B47="",AI$4=""),"",IF(UPPER(TRIM(JAWABAN!AI47))=AI$4,1,0))</f>
        <v/>
      </c>
      <c r="AJ47" s="16" t="str">
        <f aca="false">IF(OR($B47="",AJ$4=""),"",IF(UPPER(TRIM(JAWABAN!AJ47))=AJ$4,1,0))</f>
        <v/>
      </c>
      <c r="AK47" s="16" t="str">
        <f aca="false">IF(OR($B47="",AK$4=""),"",IF(UPPER(TRIM(JAWABAN!AK47))=AK$4,1,0))</f>
        <v/>
      </c>
      <c r="AL47" s="16" t="str">
        <f aca="false">IF(OR($B47="",AL$4=""),"",IF(UPPER(TRIM(JAWABAN!AL47))=AL$4,1,0))</f>
        <v/>
      </c>
      <c r="AM47" s="16" t="str">
        <f aca="false">IF(OR($B47="",AM$4=""),"",IF(UPPER(TRIM(JAWABAN!AM47))=AM$4,1,0))</f>
        <v/>
      </c>
      <c r="AN47" s="16" t="str">
        <f aca="false">IF(OR($B47="",AN$4=""),"",IF(UPPER(TRIM(JAWABAN!AN47))=AN$4,1,0))</f>
        <v/>
      </c>
      <c r="AO47" s="16" t="str">
        <f aca="false">IF(OR($B47="",AO$4=""),"",IF(UPPER(TRIM(JAWABAN!AO47))=AO$4,1,0))</f>
        <v/>
      </c>
      <c r="AP47" s="16" t="str">
        <f aca="false">IF(OR($B47="",AP$4=""),"",IF(UPPER(TRIM(JAWABAN!AP47))=AP$4,1,0))</f>
        <v/>
      </c>
      <c r="AQ47" s="16" t="str">
        <f aca="false">IF(OR($B47="",AQ$4=""),"",IF(UPPER(TRIM(JAWABAN!AQ47))=AQ$4,1,0))</f>
        <v/>
      </c>
      <c r="AR47" s="16" t="str">
        <f aca="false">IF(OR($B47="",AR$4=""),"",IF(UPPER(TRIM(JAWABAN!AR47))=AR$4,1,0))</f>
        <v/>
      </c>
      <c r="AS47" s="30" t="str">
        <f aca="false">IF($B47="","",SUM(E47:AR47))</f>
        <v/>
      </c>
      <c r="AT47" s="31" t="str">
        <f aca="false">IF(AS47="","",IFERROR(ROUND(AS47/K_SOAL*100,2),""))</f>
        <v/>
      </c>
      <c r="AU47" s="16" t="str">
        <f aca="false">IF(AT47="","",IF(AT47&gt;=NILAI_KKM,"Tuntas","Belum tuntas"))</f>
        <v/>
      </c>
      <c r="AV47" s="32" t="str">
        <f aca="false">IF(AS47="","",AS47+(1000-ROW())/100000)</f>
        <v/>
      </c>
      <c r="AW47" s="33" t="str">
        <f aca="false">IF(AV47="","",RANK(AV47,$AV$6:$AV$55))</f>
        <v/>
      </c>
      <c r="AX47" s="30" t="str">
        <f aca="false">IF(AS47="","",RANK(AS47,$AS$6:$AS$55))</f>
        <v/>
      </c>
      <c r="AY47" s="16" t="str">
        <f aca="false">IF(AW47="","",IF(AW47&lt;=N_GRUP,"Atas",IF(AW47&gt;N_SISWA-N_GRUP,"Bawah","Tengah")))</f>
        <v/>
      </c>
    </row>
    <row r="48" customFormat="false" ht="15" hidden="false" customHeight="true" outlineLevel="0" collapsed="false">
      <c r="A48" s="16" t="n">
        <v>43</v>
      </c>
      <c r="B48" s="20" t="str">
        <f aca="false">IF(JAWABAN!B48="","",JAWABAN!B48)</f>
        <v/>
      </c>
      <c r="C48" s="20" t="str">
        <f aca="false">IF(JAWABAN!C48="","",JAWABAN!C48)</f>
        <v/>
      </c>
      <c r="D48" s="29" t="str">
        <f aca="false">IF(JAWABAN!D48="","",JAWABAN!D48)</f>
        <v/>
      </c>
      <c r="E48" s="16" t="str">
        <f aca="false">IF(OR($B48="",E$4=""),"",IF(UPPER(TRIM(JAWABAN!E48))=E$4,1,0))</f>
        <v/>
      </c>
      <c r="F48" s="16" t="str">
        <f aca="false">IF(OR($B48="",F$4=""),"",IF(UPPER(TRIM(JAWABAN!F48))=F$4,1,0))</f>
        <v/>
      </c>
      <c r="G48" s="16" t="str">
        <f aca="false">IF(OR($B48="",G$4=""),"",IF(UPPER(TRIM(JAWABAN!G48))=G$4,1,0))</f>
        <v/>
      </c>
      <c r="H48" s="16" t="str">
        <f aca="false">IF(OR($B48="",H$4=""),"",IF(UPPER(TRIM(JAWABAN!H48))=H$4,1,0))</f>
        <v/>
      </c>
      <c r="I48" s="16" t="str">
        <f aca="false">IF(OR($B48="",I$4=""),"",IF(UPPER(TRIM(JAWABAN!I48))=I$4,1,0))</f>
        <v/>
      </c>
      <c r="J48" s="16" t="str">
        <f aca="false">IF(OR($B48="",J$4=""),"",IF(UPPER(TRIM(JAWABAN!J48))=J$4,1,0))</f>
        <v/>
      </c>
      <c r="K48" s="16" t="str">
        <f aca="false">IF(OR($B48="",K$4=""),"",IF(UPPER(TRIM(JAWABAN!K48))=K$4,1,0))</f>
        <v/>
      </c>
      <c r="L48" s="16" t="str">
        <f aca="false">IF(OR($B48="",L$4=""),"",IF(UPPER(TRIM(JAWABAN!L48))=L$4,1,0))</f>
        <v/>
      </c>
      <c r="M48" s="16" t="str">
        <f aca="false">IF(OR($B48="",M$4=""),"",IF(UPPER(TRIM(JAWABAN!M48))=M$4,1,0))</f>
        <v/>
      </c>
      <c r="N48" s="16" t="str">
        <f aca="false">IF(OR($B48="",N$4=""),"",IF(UPPER(TRIM(JAWABAN!N48))=N$4,1,0))</f>
        <v/>
      </c>
      <c r="O48" s="16" t="str">
        <f aca="false">IF(OR($B48="",O$4=""),"",IF(UPPER(TRIM(JAWABAN!O48))=O$4,1,0))</f>
        <v/>
      </c>
      <c r="P48" s="16" t="str">
        <f aca="false">IF(OR($B48="",P$4=""),"",IF(UPPER(TRIM(JAWABAN!P48))=P$4,1,0))</f>
        <v/>
      </c>
      <c r="Q48" s="16" t="str">
        <f aca="false">IF(OR($B48="",Q$4=""),"",IF(UPPER(TRIM(JAWABAN!Q48))=Q$4,1,0))</f>
        <v/>
      </c>
      <c r="R48" s="16" t="str">
        <f aca="false">IF(OR($B48="",R$4=""),"",IF(UPPER(TRIM(JAWABAN!R48))=R$4,1,0))</f>
        <v/>
      </c>
      <c r="S48" s="16" t="str">
        <f aca="false">IF(OR($B48="",S$4=""),"",IF(UPPER(TRIM(JAWABAN!S48))=S$4,1,0))</f>
        <v/>
      </c>
      <c r="T48" s="16" t="str">
        <f aca="false">IF(OR($B48="",T$4=""),"",IF(UPPER(TRIM(JAWABAN!T48))=T$4,1,0))</f>
        <v/>
      </c>
      <c r="U48" s="16" t="str">
        <f aca="false">IF(OR($B48="",U$4=""),"",IF(UPPER(TRIM(JAWABAN!U48))=U$4,1,0))</f>
        <v/>
      </c>
      <c r="V48" s="16" t="str">
        <f aca="false">IF(OR($B48="",V$4=""),"",IF(UPPER(TRIM(JAWABAN!V48))=V$4,1,0))</f>
        <v/>
      </c>
      <c r="W48" s="16" t="str">
        <f aca="false">IF(OR($B48="",W$4=""),"",IF(UPPER(TRIM(JAWABAN!W48))=W$4,1,0))</f>
        <v/>
      </c>
      <c r="X48" s="16" t="str">
        <f aca="false">IF(OR($B48="",X$4=""),"",IF(UPPER(TRIM(JAWABAN!X48))=X$4,1,0))</f>
        <v/>
      </c>
      <c r="Y48" s="16" t="str">
        <f aca="false">IF(OR($B48="",Y$4=""),"",IF(UPPER(TRIM(JAWABAN!Y48))=Y$4,1,0))</f>
        <v/>
      </c>
      <c r="Z48" s="16" t="str">
        <f aca="false">IF(OR($B48="",Z$4=""),"",IF(UPPER(TRIM(JAWABAN!Z48))=Z$4,1,0))</f>
        <v/>
      </c>
      <c r="AA48" s="16" t="str">
        <f aca="false">IF(OR($B48="",AA$4=""),"",IF(UPPER(TRIM(JAWABAN!AA48))=AA$4,1,0))</f>
        <v/>
      </c>
      <c r="AB48" s="16" t="str">
        <f aca="false">IF(OR($B48="",AB$4=""),"",IF(UPPER(TRIM(JAWABAN!AB48))=AB$4,1,0))</f>
        <v/>
      </c>
      <c r="AC48" s="16" t="str">
        <f aca="false">IF(OR($B48="",AC$4=""),"",IF(UPPER(TRIM(JAWABAN!AC48))=AC$4,1,0))</f>
        <v/>
      </c>
      <c r="AD48" s="16" t="str">
        <f aca="false">IF(OR($B48="",AD$4=""),"",IF(UPPER(TRIM(JAWABAN!AD48))=AD$4,1,0))</f>
        <v/>
      </c>
      <c r="AE48" s="16" t="str">
        <f aca="false">IF(OR($B48="",AE$4=""),"",IF(UPPER(TRIM(JAWABAN!AE48))=AE$4,1,0))</f>
        <v/>
      </c>
      <c r="AF48" s="16" t="str">
        <f aca="false">IF(OR($B48="",AF$4=""),"",IF(UPPER(TRIM(JAWABAN!AF48))=AF$4,1,0))</f>
        <v/>
      </c>
      <c r="AG48" s="16" t="str">
        <f aca="false">IF(OR($B48="",AG$4=""),"",IF(UPPER(TRIM(JAWABAN!AG48))=AG$4,1,0))</f>
        <v/>
      </c>
      <c r="AH48" s="16" t="str">
        <f aca="false">IF(OR($B48="",AH$4=""),"",IF(UPPER(TRIM(JAWABAN!AH48))=AH$4,1,0))</f>
        <v/>
      </c>
      <c r="AI48" s="16" t="str">
        <f aca="false">IF(OR($B48="",AI$4=""),"",IF(UPPER(TRIM(JAWABAN!AI48))=AI$4,1,0))</f>
        <v/>
      </c>
      <c r="AJ48" s="16" t="str">
        <f aca="false">IF(OR($B48="",AJ$4=""),"",IF(UPPER(TRIM(JAWABAN!AJ48))=AJ$4,1,0))</f>
        <v/>
      </c>
      <c r="AK48" s="16" t="str">
        <f aca="false">IF(OR($B48="",AK$4=""),"",IF(UPPER(TRIM(JAWABAN!AK48))=AK$4,1,0))</f>
        <v/>
      </c>
      <c r="AL48" s="16" t="str">
        <f aca="false">IF(OR($B48="",AL$4=""),"",IF(UPPER(TRIM(JAWABAN!AL48))=AL$4,1,0))</f>
        <v/>
      </c>
      <c r="AM48" s="16" t="str">
        <f aca="false">IF(OR($B48="",AM$4=""),"",IF(UPPER(TRIM(JAWABAN!AM48))=AM$4,1,0))</f>
        <v/>
      </c>
      <c r="AN48" s="16" t="str">
        <f aca="false">IF(OR($B48="",AN$4=""),"",IF(UPPER(TRIM(JAWABAN!AN48))=AN$4,1,0))</f>
        <v/>
      </c>
      <c r="AO48" s="16" t="str">
        <f aca="false">IF(OR($B48="",AO$4=""),"",IF(UPPER(TRIM(JAWABAN!AO48))=AO$4,1,0))</f>
        <v/>
      </c>
      <c r="AP48" s="16" t="str">
        <f aca="false">IF(OR($B48="",AP$4=""),"",IF(UPPER(TRIM(JAWABAN!AP48))=AP$4,1,0))</f>
        <v/>
      </c>
      <c r="AQ48" s="16" t="str">
        <f aca="false">IF(OR($B48="",AQ$4=""),"",IF(UPPER(TRIM(JAWABAN!AQ48))=AQ$4,1,0))</f>
        <v/>
      </c>
      <c r="AR48" s="16" t="str">
        <f aca="false">IF(OR($B48="",AR$4=""),"",IF(UPPER(TRIM(JAWABAN!AR48))=AR$4,1,0))</f>
        <v/>
      </c>
      <c r="AS48" s="30" t="str">
        <f aca="false">IF($B48="","",SUM(E48:AR48))</f>
        <v/>
      </c>
      <c r="AT48" s="31" t="str">
        <f aca="false">IF(AS48="","",IFERROR(ROUND(AS48/K_SOAL*100,2),""))</f>
        <v/>
      </c>
      <c r="AU48" s="16" t="str">
        <f aca="false">IF(AT48="","",IF(AT48&gt;=NILAI_KKM,"Tuntas","Belum tuntas"))</f>
        <v/>
      </c>
      <c r="AV48" s="32" t="str">
        <f aca="false">IF(AS48="","",AS48+(1000-ROW())/100000)</f>
        <v/>
      </c>
      <c r="AW48" s="33" t="str">
        <f aca="false">IF(AV48="","",RANK(AV48,$AV$6:$AV$55))</f>
        <v/>
      </c>
      <c r="AX48" s="30" t="str">
        <f aca="false">IF(AS48="","",RANK(AS48,$AS$6:$AS$55))</f>
        <v/>
      </c>
      <c r="AY48" s="16" t="str">
        <f aca="false">IF(AW48="","",IF(AW48&lt;=N_GRUP,"Atas",IF(AW48&gt;N_SISWA-N_GRUP,"Bawah","Tengah")))</f>
        <v/>
      </c>
    </row>
    <row r="49" customFormat="false" ht="15" hidden="false" customHeight="true" outlineLevel="0" collapsed="false">
      <c r="A49" s="16" t="n">
        <v>44</v>
      </c>
      <c r="B49" s="20" t="str">
        <f aca="false">IF(JAWABAN!B49="","",JAWABAN!B49)</f>
        <v/>
      </c>
      <c r="C49" s="20" t="str">
        <f aca="false">IF(JAWABAN!C49="","",JAWABAN!C49)</f>
        <v/>
      </c>
      <c r="D49" s="29" t="str">
        <f aca="false">IF(JAWABAN!D49="","",JAWABAN!D49)</f>
        <v/>
      </c>
      <c r="E49" s="16" t="str">
        <f aca="false">IF(OR($B49="",E$4=""),"",IF(UPPER(TRIM(JAWABAN!E49))=E$4,1,0))</f>
        <v/>
      </c>
      <c r="F49" s="16" t="str">
        <f aca="false">IF(OR($B49="",F$4=""),"",IF(UPPER(TRIM(JAWABAN!F49))=F$4,1,0))</f>
        <v/>
      </c>
      <c r="G49" s="16" t="str">
        <f aca="false">IF(OR($B49="",G$4=""),"",IF(UPPER(TRIM(JAWABAN!G49))=G$4,1,0))</f>
        <v/>
      </c>
      <c r="H49" s="16" t="str">
        <f aca="false">IF(OR($B49="",H$4=""),"",IF(UPPER(TRIM(JAWABAN!H49))=H$4,1,0))</f>
        <v/>
      </c>
      <c r="I49" s="16" t="str">
        <f aca="false">IF(OR($B49="",I$4=""),"",IF(UPPER(TRIM(JAWABAN!I49))=I$4,1,0))</f>
        <v/>
      </c>
      <c r="J49" s="16" t="str">
        <f aca="false">IF(OR($B49="",J$4=""),"",IF(UPPER(TRIM(JAWABAN!J49))=J$4,1,0))</f>
        <v/>
      </c>
      <c r="K49" s="16" t="str">
        <f aca="false">IF(OR($B49="",K$4=""),"",IF(UPPER(TRIM(JAWABAN!K49))=K$4,1,0))</f>
        <v/>
      </c>
      <c r="L49" s="16" t="str">
        <f aca="false">IF(OR($B49="",L$4=""),"",IF(UPPER(TRIM(JAWABAN!L49))=L$4,1,0))</f>
        <v/>
      </c>
      <c r="M49" s="16" t="str">
        <f aca="false">IF(OR($B49="",M$4=""),"",IF(UPPER(TRIM(JAWABAN!M49))=M$4,1,0))</f>
        <v/>
      </c>
      <c r="N49" s="16" t="str">
        <f aca="false">IF(OR($B49="",N$4=""),"",IF(UPPER(TRIM(JAWABAN!N49))=N$4,1,0))</f>
        <v/>
      </c>
      <c r="O49" s="16" t="str">
        <f aca="false">IF(OR($B49="",O$4=""),"",IF(UPPER(TRIM(JAWABAN!O49))=O$4,1,0))</f>
        <v/>
      </c>
      <c r="P49" s="16" t="str">
        <f aca="false">IF(OR($B49="",P$4=""),"",IF(UPPER(TRIM(JAWABAN!P49))=P$4,1,0))</f>
        <v/>
      </c>
      <c r="Q49" s="16" t="str">
        <f aca="false">IF(OR($B49="",Q$4=""),"",IF(UPPER(TRIM(JAWABAN!Q49))=Q$4,1,0))</f>
        <v/>
      </c>
      <c r="R49" s="16" t="str">
        <f aca="false">IF(OR($B49="",R$4=""),"",IF(UPPER(TRIM(JAWABAN!R49))=R$4,1,0))</f>
        <v/>
      </c>
      <c r="S49" s="16" t="str">
        <f aca="false">IF(OR($B49="",S$4=""),"",IF(UPPER(TRIM(JAWABAN!S49))=S$4,1,0))</f>
        <v/>
      </c>
      <c r="T49" s="16" t="str">
        <f aca="false">IF(OR($B49="",T$4=""),"",IF(UPPER(TRIM(JAWABAN!T49))=T$4,1,0))</f>
        <v/>
      </c>
      <c r="U49" s="16" t="str">
        <f aca="false">IF(OR($B49="",U$4=""),"",IF(UPPER(TRIM(JAWABAN!U49))=U$4,1,0))</f>
        <v/>
      </c>
      <c r="V49" s="16" t="str">
        <f aca="false">IF(OR($B49="",V$4=""),"",IF(UPPER(TRIM(JAWABAN!V49))=V$4,1,0))</f>
        <v/>
      </c>
      <c r="W49" s="16" t="str">
        <f aca="false">IF(OR($B49="",W$4=""),"",IF(UPPER(TRIM(JAWABAN!W49))=W$4,1,0))</f>
        <v/>
      </c>
      <c r="X49" s="16" t="str">
        <f aca="false">IF(OR($B49="",X$4=""),"",IF(UPPER(TRIM(JAWABAN!X49))=X$4,1,0))</f>
        <v/>
      </c>
      <c r="Y49" s="16" t="str">
        <f aca="false">IF(OR($B49="",Y$4=""),"",IF(UPPER(TRIM(JAWABAN!Y49))=Y$4,1,0))</f>
        <v/>
      </c>
      <c r="Z49" s="16" t="str">
        <f aca="false">IF(OR($B49="",Z$4=""),"",IF(UPPER(TRIM(JAWABAN!Z49))=Z$4,1,0))</f>
        <v/>
      </c>
      <c r="AA49" s="16" t="str">
        <f aca="false">IF(OR($B49="",AA$4=""),"",IF(UPPER(TRIM(JAWABAN!AA49))=AA$4,1,0))</f>
        <v/>
      </c>
      <c r="AB49" s="16" t="str">
        <f aca="false">IF(OR($B49="",AB$4=""),"",IF(UPPER(TRIM(JAWABAN!AB49))=AB$4,1,0))</f>
        <v/>
      </c>
      <c r="AC49" s="16" t="str">
        <f aca="false">IF(OR($B49="",AC$4=""),"",IF(UPPER(TRIM(JAWABAN!AC49))=AC$4,1,0))</f>
        <v/>
      </c>
      <c r="AD49" s="16" t="str">
        <f aca="false">IF(OR($B49="",AD$4=""),"",IF(UPPER(TRIM(JAWABAN!AD49))=AD$4,1,0))</f>
        <v/>
      </c>
      <c r="AE49" s="16" t="str">
        <f aca="false">IF(OR($B49="",AE$4=""),"",IF(UPPER(TRIM(JAWABAN!AE49))=AE$4,1,0))</f>
        <v/>
      </c>
      <c r="AF49" s="16" t="str">
        <f aca="false">IF(OR($B49="",AF$4=""),"",IF(UPPER(TRIM(JAWABAN!AF49))=AF$4,1,0))</f>
        <v/>
      </c>
      <c r="AG49" s="16" t="str">
        <f aca="false">IF(OR($B49="",AG$4=""),"",IF(UPPER(TRIM(JAWABAN!AG49))=AG$4,1,0))</f>
        <v/>
      </c>
      <c r="AH49" s="16" t="str">
        <f aca="false">IF(OR($B49="",AH$4=""),"",IF(UPPER(TRIM(JAWABAN!AH49))=AH$4,1,0))</f>
        <v/>
      </c>
      <c r="AI49" s="16" t="str">
        <f aca="false">IF(OR($B49="",AI$4=""),"",IF(UPPER(TRIM(JAWABAN!AI49))=AI$4,1,0))</f>
        <v/>
      </c>
      <c r="AJ49" s="16" t="str">
        <f aca="false">IF(OR($B49="",AJ$4=""),"",IF(UPPER(TRIM(JAWABAN!AJ49))=AJ$4,1,0))</f>
        <v/>
      </c>
      <c r="AK49" s="16" t="str">
        <f aca="false">IF(OR($B49="",AK$4=""),"",IF(UPPER(TRIM(JAWABAN!AK49))=AK$4,1,0))</f>
        <v/>
      </c>
      <c r="AL49" s="16" t="str">
        <f aca="false">IF(OR($B49="",AL$4=""),"",IF(UPPER(TRIM(JAWABAN!AL49))=AL$4,1,0))</f>
        <v/>
      </c>
      <c r="AM49" s="16" t="str">
        <f aca="false">IF(OR($B49="",AM$4=""),"",IF(UPPER(TRIM(JAWABAN!AM49))=AM$4,1,0))</f>
        <v/>
      </c>
      <c r="AN49" s="16" t="str">
        <f aca="false">IF(OR($B49="",AN$4=""),"",IF(UPPER(TRIM(JAWABAN!AN49))=AN$4,1,0))</f>
        <v/>
      </c>
      <c r="AO49" s="16" t="str">
        <f aca="false">IF(OR($B49="",AO$4=""),"",IF(UPPER(TRIM(JAWABAN!AO49))=AO$4,1,0))</f>
        <v/>
      </c>
      <c r="AP49" s="16" t="str">
        <f aca="false">IF(OR($B49="",AP$4=""),"",IF(UPPER(TRIM(JAWABAN!AP49))=AP$4,1,0))</f>
        <v/>
      </c>
      <c r="AQ49" s="16" t="str">
        <f aca="false">IF(OR($B49="",AQ$4=""),"",IF(UPPER(TRIM(JAWABAN!AQ49))=AQ$4,1,0))</f>
        <v/>
      </c>
      <c r="AR49" s="16" t="str">
        <f aca="false">IF(OR($B49="",AR$4=""),"",IF(UPPER(TRIM(JAWABAN!AR49))=AR$4,1,0))</f>
        <v/>
      </c>
      <c r="AS49" s="30" t="str">
        <f aca="false">IF($B49="","",SUM(E49:AR49))</f>
        <v/>
      </c>
      <c r="AT49" s="31" t="str">
        <f aca="false">IF(AS49="","",IFERROR(ROUND(AS49/K_SOAL*100,2),""))</f>
        <v/>
      </c>
      <c r="AU49" s="16" t="str">
        <f aca="false">IF(AT49="","",IF(AT49&gt;=NILAI_KKM,"Tuntas","Belum tuntas"))</f>
        <v/>
      </c>
      <c r="AV49" s="32" t="str">
        <f aca="false">IF(AS49="","",AS49+(1000-ROW())/100000)</f>
        <v/>
      </c>
      <c r="AW49" s="33" t="str">
        <f aca="false">IF(AV49="","",RANK(AV49,$AV$6:$AV$55))</f>
        <v/>
      </c>
      <c r="AX49" s="30" t="str">
        <f aca="false">IF(AS49="","",RANK(AS49,$AS$6:$AS$55))</f>
        <v/>
      </c>
      <c r="AY49" s="16" t="str">
        <f aca="false">IF(AW49="","",IF(AW49&lt;=N_GRUP,"Atas",IF(AW49&gt;N_SISWA-N_GRUP,"Bawah","Tengah")))</f>
        <v/>
      </c>
    </row>
    <row r="50" customFormat="false" ht="15" hidden="false" customHeight="true" outlineLevel="0" collapsed="false">
      <c r="A50" s="16" t="n">
        <v>45</v>
      </c>
      <c r="B50" s="20" t="str">
        <f aca="false">IF(JAWABAN!B50="","",JAWABAN!B50)</f>
        <v/>
      </c>
      <c r="C50" s="20" t="str">
        <f aca="false">IF(JAWABAN!C50="","",JAWABAN!C50)</f>
        <v/>
      </c>
      <c r="D50" s="29" t="str">
        <f aca="false">IF(JAWABAN!D50="","",JAWABAN!D50)</f>
        <v/>
      </c>
      <c r="E50" s="16" t="str">
        <f aca="false">IF(OR($B50="",E$4=""),"",IF(UPPER(TRIM(JAWABAN!E50))=E$4,1,0))</f>
        <v/>
      </c>
      <c r="F50" s="16" t="str">
        <f aca="false">IF(OR($B50="",F$4=""),"",IF(UPPER(TRIM(JAWABAN!F50))=F$4,1,0))</f>
        <v/>
      </c>
      <c r="G50" s="16" t="str">
        <f aca="false">IF(OR($B50="",G$4=""),"",IF(UPPER(TRIM(JAWABAN!G50))=G$4,1,0))</f>
        <v/>
      </c>
      <c r="H50" s="16" t="str">
        <f aca="false">IF(OR($B50="",H$4=""),"",IF(UPPER(TRIM(JAWABAN!H50))=H$4,1,0))</f>
        <v/>
      </c>
      <c r="I50" s="16" t="str">
        <f aca="false">IF(OR($B50="",I$4=""),"",IF(UPPER(TRIM(JAWABAN!I50))=I$4,1,0))</f>
        <v/>
      </c>
      <c r="J50" s="16" t="str">
        <f aca="false">IF(OR($B50="",J$4=""),"",IF(UPPER(TRIM(JAWABAN!J50))=J$4,1,0))</f>
        <v/>
      </c>
      <c r="K50" s="16" t="str">
        <f aca="false">IF(OR($B50="",K$4=""),"",IF(UPPER(TRIM(JAWABAN!K50))=K$4,1,0))</f>
        <v/>
      </c>
      <c r="L50" s="16" t="str">
        <f aca="false">IF(OR($B50="",L$4=""),"",IF(UPPER(TRIM(JAWABAN!L50))=L$4,1,0))</f>
        <v/>
      </c>
      <c r="M50" s="16" t="str">
        <f aca="false">IF(OR($B50="",M$4=""),"",IF(UPPER(TRIM(JAWABAN!M50))=M$4,1,0))</f>
        <v/>
      </c>
      <c r="N50" s="16" t="str">
        <f aca="false">IF(OR($B50="",N$4=""),"",IF(UPPER(TRIM(JAWABAN!N50))=N$4,1,0))</f>
        <v/>
      </c>
      <c r="O50" s="16" t="str">
        <f aca="false">IF(OR($B50="",O$4=""),"",IF(UPPER(TRIM(JAWABAN!O50))=O$4,1,0))</f>
        <v/>
      </c>
      <c r="P50" s="16" t="str">
        <f aca="false">IF(OR($B50="",P$4=""),"",IF(UPPER(TRIM(JAWABAN!P50))=P$4,1,0))</f>
        <v/>
      </c>
      <c r="Q50" s="16" t="str">
        <f aca="false">IF(OR($B50="",Q$4=""),"",IF(UPPER(TRIM(JAWABAN!Q50))=Q$4,1,0))</f>
        <v/>
      </c>
      <c r="R50" s="16" t="str">
        <f aca="false">IF(OR($B50="",R$4=""),"",IF(UPPER(TRIM(JAWABAN!R50))=R$4,1,0))</f>
        <v/>
      </c>
      <c r="S50" s="16" t="str">
        <f aca="false">IF(OR($B50="",S$4=""),"",IF(UPPER(TRIM(JAWABAN!S50))=S$4,1,0))</f>
        <v/>
      </c>
      <c r="T50" s="16" t="str">
        <f aca="false">IF(OR($B50="",T$4=""),"",IF(UPPER(TRIM(JAWABAN!T50))=T$4,1,0))</f>
        <v/>
      </c>
      <c r="U50" s="16" t="str">
        <f aca="false">IF(OR($B50="",U$4=""),"",IF(UPPER(TRIM(JAWABAN!U50))=U$4,1,0))</f>
        <v/>
      </c>
      <c r="V50" s="16" t="str">
        <f aca="false">IF(OR($B50="",V$4=""),"",IF(UPPER(TRIM(JAWABAN!V50))=V$4,1,0))</f>
        <v/>
      </c>
      <c r="W50" s="16" t="str">
        <f aca="false">IF(OR($B50="",W$4=""),"",IF(UPPER(TRIM(JAWABAN!W50))=W$4,1,0))</f>
        <v/>
      </c>
      <c r="X50" s="16" t="str">
        <f aca="false">IF(OR($B50="",X$4=""),"",IF(UPPER(TRIM(JAWABAN!X50))=X$4,1,0))</f>
        <v/>
      </c>
      <c r="Y50" s="16" t="str">
        <f aca="false">IF(OR($B50="",Y$4=""),"",IF(UPPER(TRIM(JAWABAN!Y50))=Y$4,1,0))</f>
        <v/>
      </c>
      <c r="Z50" s="16" t="str">
        <f aca="false">IF(OR($B50="",Z$4=""),"",IF(UPPER(TRIM(JAWABAN!Z50))=Z$4,1,0))</f>
        <v/>
      </c>
      <c r="AA50" s="16" t="str">
        <f aca="false">IF(OR($B50="",AA$4=""),"",IF(UPPER(TRIM(JAWABAN!AA50))=AA$4,1,0))</f>
        <v/>
      </c>
      <c r="AB50" s="16" t="str">
        <f aca="false">IF(OR($B50="",AB$4=""),"",IF(UPPER(TRIM(JAWABAN!AB50))=AB$4,1,0))</f>
        <v/>
      </c>
      <c r="AC50" s="16" t="str">
        <f aca="false">IF(OR($B50="",AC$4=""),"",IF(UPPER(TRIM(JAWABAN!AC50))=AC$4,1,0))</f>
        <v/>
      </c>
      <c r="AD50" s="16" t="str">
        <f aca="false">IF(OR($B50="",AD$4=""),"",IF(UPPER(TRIM(JAWABAN!AD50))=AD$4,1,0))</f>
        <v/>
      </c>
      <c r="AE50" s="16" t="str">
        <f aca="false">IF(OR($B50="",AE$4=""),"",IF(UPPER(TRIM(JAWABAN!AE50))=AE$4,1,0))</f>
        <v/>
      </c>
      <c r="AF50" s="16" t="str">
        <f aca="false">IF(OR($B50="",AF$4=""),"",IF(UPPER(TRIM(JAWABAN!AF50))=AF$4,1,0))</f>
        <v/>
      </c>
      <c r="AG50" s="16" t="str">
        <f aca="false">IF(OR($B50="",AG$4=""),"",IF(UPPER(TRIM(JAWABAN!AG50))=AG$4,1,0))</f>
        <v/>
      </c>
      <c r="AH50" s="16" t="str">
        <f aca="false">IF(OR($B50="",AH$4=""),"",IF(UPPER(TRIM(JAWABAN!AH50))=AH$4,1,0))</f>
        <v/>
      </c>
      <c r="AI50" s="16" t="str">
        <f aca="false">IF(OR($B50="",AI$4=""),"",IF(UPPER(TRIM(JAWABAN!AI50))=AI$4,1,0))</f>
        <v/>
      </c>
      <c r="AJ50" s="16" t="str">
        <f aca="false">IF(OR($B50="",AJ$4=""),"",IF(UPPER(TRIM(JAWABAN!AJ50))=AJ$4,1,0))</f>
        <v/>
      </c>
      <c r="AK50" s="16" t="str">
        <f aca="false">IF(OR($B50="",AK$4=""),"",IF(UPPER(TRIM(JAWABAN!AK50))=AK$4,1,0))</f>
        <v/>
      </c>
      <c r="AL50" s="16" t="str">
        <f aca="false">IF(OR($B50="",AL$4=""),"",IF(UPPER(TRIM(JAWABAN!AL50))=AL$4,1,0))</f>
        <v/>
      </c>
      <c r="AM50" s="16" t="str">
        <f aca="false">IF(OR($B50="",AM$4=""),"",IF(UPPER(TRIM(JAWABAN!AM50))=AM$4,1,0))</f>
        <v/>
      </c>
      <c r="AN50" s="16" t="str">
        <f aca="false">IF(OR($B50="",AN$4=""),"",IF(UPPER(TRIM(JAWABAN!AN50))=AN$4,1,0))</f>
        <v/>
      </c>
      <c r="AO50" s="16" t="str">
        <f aca="false">IF(OR($B50="",AO$4=""),"",IF(UPPER(TRIM(JAWABAN!AO50))=AO$4,1,0))</f>
        <v/>
      </c>
      <c r="AP50" s="16" t="str">
        <f aca="false">IF(OR($B50="",AP$4=""),"",IF(UPPER(TRIM(JAWABAN!AP50))=AP$4,1,0))</f>
        <v/>
      </c>
      <c r="AQ50" s="16" t="str">
        <f aca="false">IF(OR($B50="",AQ$4=""),"",IF(UPPER(TRIM(JAWABAN!AQ50))=AQ$4,1,0))</f>
        <v/>
      </c>
      <c r="AR50" s="16" t="str">
        <f aca="false">IF(OR($B50="",AR$4=""),"",IF(UPPER(TRIM(JAWABAN!AR50))=AR$4,1,0))</f>
        <v/>
      </c>
      <c r="AS50" s="30" t="str">
        <f aca="false">IF($B50="","",SUM(E50:AR50))</f>
        <v/>
      </c>
      <c r="AT50" s="31" t="str">
        <f aca="false">IF(AS50="","",IFERROR(ROUND(AS50/K_SOAL*100,2),""))</f>
        <v/>
      </c>
      <c r="AU50" s="16" t="str">
        <f aca="false">IF(AT50="","",IF(AT50&gt;=NILAI_KKM,"Tuntas","Belum tuntas"))</f>
        <v/>
      </c>
      <c r="AV50" s="32" t="str">
        <f aca="false">IF(AS50="","",AS50+(1000-ROW())/100000)</f>
        <v/>
      </c>
      <c r="AW50" s="33" t="str">
        <f aca="false">IF(AV50="","",RANK(AV50,$AV$6:$AV$55))</f>
        <v/>
      </c>
      <c r="AX50" s="30" t="str">
        <f aca="false">IF(AS50="","",RANK(AS50,$AS$6:$AS$55))</f>
        <v/>
      </c>
      <c r="AY50" s="16" t="str">
        <f aca="false">IF(AW50="","",IF(AW50&lt;=N_GRUP,"Atas",IF(AW50&gt;N_SISWA-N_GRUP,"Bawah","Tengah")))</f>
        <v/>
      </c>
    </row>
    <row r="51" customFormat="false" ht="15" hidden="false" customHeight="true" outlineLevel="0" collapsed="false">
      <c r="A51" s="16" t="n">
        <v>46</v>
      </c>
      <c r="B51" s="20" t="str">
        <f aca="false">IF(JAWABAN!B51="","",JAWABAN!B51)</f>
        <v/>
      </c>
      <c r="C51" s="20" t="str">
        <f aca="false">IF(JAWABAN!C51="","",JAWABAN!C51)</f>
        <v/>
      </c>
      <c r="D51" s="29" t="str">
        <f aca="false">IF(JAWABAN!D51="","",JAWABAN!D51)</f>
        <v/>
      </c>
      <c r="E51" s="16" t="str">
        <f aca="false">IF(OR($B51="",E$4=""),"",IF(UPPER(TRIM(JAWABAN!E51))=E$4,1,0))</f>
        <v/>
      </c>
      <c r="F51" s="16" t="str">
        <f aca="false">IF(OR($B51="",F$4=""),"",IF(UPPER(TRIM(JAWABAN!F51))=F$4,1,0))</f>
        <v/>
      </c>
      <c r="G51" s="16" t="str">
        <f aca="false">IF(OR($B51="",G$4=""),"",IF(UPPER(TRIM(JAWABAN!G51))=G$4,1,0))</f>
        <v/>
      </c>
      <c r="H51" s="16" t="str">
        <f aca="false">IF(OR($B51="",H$4=""),"",IF(UPPER(TRIM(JAWABAN!H51))=H$4,1,0))</f>
        <v/>
      </c>
      <c r="I51" s="16" t="str">
        <f aca="false">IF(OR($B51="",I$4=""),"",IF(UPPER(TRIM(JAWABAN!I51))=I$4,1,0))</f>
        <v/>
      </c>
      <c r="J51" s="16" t="str">
        <f aca="false">IF(OR($B51="",J$4=""),"",IF(UPPER(TRIM(JAWABAN!J51))=J$4,1,0))</f>
        <v/>
      </c>
      <c r="K51" s="16" t="str">
        <f aca="false">IF(OR($B51="",K$4=""),"",IF(UPPER(TRIM(JAWABAN!K51))=K$4,1,0))</f>
        <v/>
      </c>
      <c r="L51" s="16" t="str">
        <f aca="false">IF(OR($B51="",L$4=""),"",IF(UPPER(TRIM(JAWABAN!L51))=L$4,1,0))</f>
        <v/>
      </c>
      <c r="M51" s="16" t="str">
        <f aca="false">IF(OR($B51="",M$4=""),"",IF(UPPER(TRIM(JAWABAN!M51))=M$4,1,0))</f>
        <v/>
      </c>
      <c r="N51" s="16" t="str">
        <f aca="false">IF(OR($B51="",N$4=""),"",IF(UPPER(TRIM(JAWABAN!N51))=N$4,1,0))</f>
        <v/>
      </c>
      <c r="O51" s="16" t="str">
        <f aca="false">IF(OR($B51="",O$4=""),"",IF(UPPER(TRIM(JAWABAN!O51))=O$4,1,0))</f>
        <v/>
      </c>
      <c r="P51" s="16" t="str">
        <f aca="false">IF(OR($B51="",P$4=""),"",IF(UPPER(TRIM(JAWABAN!P51))=P$4,1,0))</f>
        <v/>
      </c>
      <c r="Q51" s="16" t="str">
        <f aca="false">IF(OR($B51="",Q$4=""),"",IF(UPPER(TRIM(JAWABAN!Q51))=Q$4,1,0))</f>
        <v/>
      </c>
      <c r="R51" s="16" t="str">
        <f aca="false">IF(OR($B51="",R$4=""),"",IF(UPPER(TRIM(JAWABAN!R51))=R$4,1,0))</f>
        <v/>
      </c>
      <c r="S51" s="16" t="str">
        <f aca="false">IF(OR($B51="",S$4=""),"",IF(UPPER(TRIM(JAWABAN!S51))=S$4,1,0))</f>
        <v/>
      </c>
      <c r="T51" s="16" t="str">
        <f aca="false">IF(OR($B51="",T$4=""),"",IF(UPPER(TRIM(JAWABAN!T51))=T$4,1,0))</f>
        <v/>
      </c>
      <c r="U51" s="16" t="str">
        <f aca="false">IF(OR($B51="",U$4=""),"",IF(UPPER(TRIM(JAWABAN!U51))=U$4,1,0))</f>
        <v/>
      </c>
      <c r="V51" s="16" t="str">
        <f aca="false">IF(OR($B51="",V$4=""),"",IF(UPPER(TRIM(JAWABAN!V51))=V$4,1,0))</f>
        <v/>
      </c>
      <c r="W51" s="16" t="str">
        <f aca="false">IF(OR($B51="",W$4=""),"",IF(UPPER(TRIM(JAWABAN!W51))=W$4,1,0))</f>
        <v/>
      </c>
      <c r="X51" s="16" t="str">
        <f aca="false">IF(OR($B51="",X$4=""),"",IF(UPPER(TRIM(JAWABAN!X51))=X$4,1,0))</f>
        <v/>
      </c>
      <c r="Y51" s="16" t="str">
        <f aca="false">IF(OR($B51="",Y$4=""),"",IF(UPPER(TRIM(JAWABAN!Y51))=Y$4,1,0))</f>
        <v/>
      </c>
      <c r="Z51" s="16" t="str">
        <f aca="false">IF(OR($B51="",Z$4=""),"",IF(UPPER(TRIM(JAWABAN!Z51))=Z$4,1,0))</f>
        <v/>
      </c>
      <c r="AA51" s="16" t="str">
        <f aca="false">IF(OR($B51="",AA$4=""),"",IF(UPPER(TRIM(JAWABAN!AA51))=AA$4,1,0))</f>
        <v/>
      </c>
      <c r="AB51" s="16" t="str">
        <f aca="false">IF(OR($B51="",AB$4=""),"",IF(UPPER(TRIM(JAWABAN!AB51))=AB$4,1,0))</f>
        <v/>
      </c>
      <c r="AC51" s="16" t="str">
        <f aca="false">IF(OR($B51="",AC$4=""),"",IF(UPPER(TRIM(JAWABAN!AC51))=AC$4,1,0))</f>
        <v/>
      </c>
      <c r="AD51" s="16" t="str">
        <f aca="false">IF(OR($B51="",AD$4=""),"",IF(UPPER(TRIM(JAWABAN!AD51))=AD$4,1,0))</f>
        <v/>
      </c>
      <c r="AE51" s="16" t="str">
        <f aca="false">IF(OR($B51="",AE$4=""),"",IF(UPPER(TRIM(JAWABAN!AE51))=AE$4,1,0))</f>
        <v/>
      </c>
      <c r="AF51" s="16" t="str">
        <f aca="false">IF(OR($B51="",AF$4=""),"",IF(UPPER(TRIM(JAWABAN!AF51))=AF$4,1,0))</f>
        <v/>
      </c>
      <c r="AG51" s="16" t="str">
        <f aca="false">IF(OR($B51="",AG$4=""),"",IF(UPPER(TRIM(JAWABAN!AG51))=AG$4,1,0))</f>
        <v/>
      </c>
      <c r="AH51" s="16" t="str">
        <f aca="false">IF(OR($B51="",AH$4=""),"",IF(UPPER(TRIM(JAWABAN!AH51))=AH$4,1,0))</f>
        <v/>
      </c>
      <c r="AI51" s="16" t="str">
        <f aca="false">IF(OR($B51="",AI$4=""),"",IF(UPPER(TRIM(JAWABAN!AI51))=AI$4,1,0))</f>
        <v/>
      </c>
      <c r="AJ51" s="16" t="str">
        <f aca="false">IF(OR($B51="",AJ$4=""),"",IF(UPPER(TRIM(JAWABAN!AJ51))=AJ$4,1,0))</f>
        <v/>
      </c>
      <c r="AK51" s="16" t="str">
        <f aca="false">IF(OR($B51="",AK$4=""),"",IF(UPPER(TRIM(JAWABAN!AK51))=AK$4,1,0))</f>
        <v/>
      </c>
      <c r="AL51" s="16" t="str">
        <f aca="false">IF(OR($B51="",AL$4=""),"",IF(UPPER(TRIM(JAWABAN!AL51))=AL$4,1,0))</f>
        <v/>
      </c>
      <c r="AM51" s="16" t="str">
        <f aca="false">IF(OR($B51="",AM$4=""),"",IF(UPPER(TRIM(JAWABAN!AM51))=AM$4,1,0))</f>
        <v/>
      </c>
      <c r="AN51" s="16" t="str">
        <f aca="false">IF(OR($B51="",AN$4=""),"",IF(UPPER(TRIM(JAWABAN!AN51))=AN$4,1,0))</f>
        <v/>
      </c>
      <c r="AO51" s="16" t="str">
        <f aca="false">IF(OR($B51="",AO$4=""),"",IF(UPPER(TRIM(JAWABAN!AO51))=AO$4,1,0))</f>
        <v/>
      </c>
      <c r="AP51" s="16" t="str">
        <f aca="false">IF(OR($B51="",AP$4=""),"",IF(UPPER(TRIM(JAWABAN!AP51))=AP$4,1,0))</f>
        <v/>
      </c>
      <c r="AQ51" s="16" t="str">
        <f aca="false">IF(OR($B51="",AQ$4=""),"",IF(UPPER(TRIM(JAWABAN!AQ51))=AQ$4,1,0))</f>
        <v/>
      </c>
      <c r="AR51" s="16" t="str">
        <f aca="false">IF(OR($B51="",AR$4=""),"",IF(UPPER(TRIM(JAWABAN!AR51))=AR$4,1,0))</f>
        <v/>
      </c>
      <c r="AS51" s="30" t="str">
        <f aca="false">IF($B51="","",SUM(E51:AR51))</f>
        <v/>
      </c>
      <c r="AT51" s="31" t="str">
        <f aca="false">IF(AS51="","",IFERROR(ROUND(AS51/K_SOAL*100,2),""))</f>
        <v/>
      </c>
      <c r="AU51" s="16" t="str">
        <f aca="false">IF(AT51="","",IF(AT51&gt;=NILAI_KKM,"Tuntas","Belum tuntas"))</f>
        <v/>
      </c>
      <c r="AV51" s="32" t="str">
        <f aca="false">IF(AS51="","",AS51+(1000-ROW())/100000)</f>
        <v/>
      </c>
      <c r="AW51" s="33" t="str">
        <f aca="false">IF(AV51="","",RANK(AV51,$AV$6:$AV$55))</f>
        <v/>
      </c>
      <c r="AX51" s="30" t="str">
        <f aca="false">IF(AS51="","",RANK(AS51,$AS$6:$AS$55))</f>
        <v/>
      </c>
      <c r="AY51" s="16" t="str">
        <f aca="false">IF(AW51="","",IF(AW51&lt;=N_GRUP,"Atas",IF(AW51&gt;N_SISWA-N_GRUP,"Bawah","Tengah")))</f>
        <v/>
      </c>
    </row>
    <row r="52" customFormat="false" ht="15" hidden="false" customHeight="true" outlineLevel="0" collapsed="false">
      <c r="A52" s="16" t="n">
        <v>47</v>
      </c>
      <c r="B52" s="20" t="str">
        <f aca="false">IF(JAWABAN!B52="","",JAWABAN!B52)</f>
        <v/>
      </c>
      <c r="C52" s="20" t="str">
        <f aca="false">IF(JAWABAN!C52="","",JAWABAN!C52)</f>
        <v/>
      </c>
      <c r="D52" s="29" t="str">
        <f aca="false">IF(JAWABAN!D52="","",JAWABAN!D52)</f>
        <v/>
      </c>
      <c r="E52" s="16" t="str">
        <f aca="false">IF(OR($B52="",E$4=""),"",IF(UPPER(TRIM(JAWABAN!E52))=E$4,1,0))</f>
        <v/>
      </c>
      <c r="F52" s="16" t="str">
        <f aca="false">IF(OR($B52="",F$4=""),"",IF(UPPER(TRIM(JAWABAN!F52))=F$4,1,0))</f>
        <v/>
      </c>
      <c r="G52" s="16" t="str">
        <f aca="false">IF(OR($B52="",G$4=""),"",IF(UPPER(TRIM(JAWABAN!G52))=G$4,1,0))</f>
        <v/>
      </c>
      <c r="H52" s="16" t="str">
        <f aca="false">IF(OR($B52="",H$4=""),"",IF(UPPER(TRIM(JAWABAN!H52))=H$4,1,0))</f>
        <v/>
      </c>
      <c r="I52" s="16" t="str">
        <f aca="false">IF(OR($B52="",I$4=""),"",IF(UPPER(TRIM(JAWABAN!I52))=I$4,1,0))</f>
        <v/>
      </c>
      <c r="J52" s="16" t="str">
        <f aca="false">IF(OR($B52="",J$4=""),"",IF(UPPER(TRIM(JAWABAN!J52))=J$4,1,0))</f>
        <v/>
      </c>
      <c r="K52" s="16" t="str">
        <f aca="false">IF(OR($B52="",K$4=""),"",IF(UPPER(TRIM(JAWABAN!K52))=K$4,1,0))</f>
        <v/>
      </c>
      <c r="L52" s="16" t="str">
        <f aca="false">IF(OR($B52="",L$4=""),"",IF(UPPER(TRIM(JAWABAN!L52))=L$4,1,0))</f>
        <v/>
      </c>
      <c r="M52" s="16" t="str">
        <f aca="false">IF(OR($B52="",M$4=""),"",IF(UPPER(TRIM(JAWABAN!M52))=M$4,1,0))</f>
        <v/>
      </c>
      <c r="N52" s="16" t="str">
        <f aca="false">IF(OR($B52="",N$4=""),"",IF(UPPER(TRIM(JAWABAN!N52))=N$4,1,0))</f>
        <v/>
      </c>
      <c r="O52" s="16" t="str">
        <f aca="false">IF(OR($B52="",O$4=""),"",IF(UPPER(TRIM(JAWABAN!O52))=O$4,1,0))</f>
        <v/>
      </c>
      <c r="P52" s="16" t="str">
        <f aca="false">IF(OR($B52="",P$4=""),"",IF(UPPER(TRIM(JAWABAN!P52))=P$4,1,0))</f>
        <v/>
      </c>
      <c r="Q52" s="16" t="str">
        <f aca="false">IF(OR($B52="",Q$4=""),"",IF(UPPER(TRIM(JAWABAN!Q52))=Q$4,1,0))</f>
        <v/>
      </c>
      <c r="R52" s="16" t="str">
        <f aca="false">IF(OR($B52="",R$4=""),"",IF(UPPER(TRIM(JAWABAN!R52))=R$4,1,0))</f>
        <v/>
      </c>
      <c r="S52" s="16" t="str">
        <f aca="false">IF(OR($B52="",S$4=""),"",IF(UPPER(TRIM(JAWABAN!S52))=S$4,1,0))</f>
        <v/>
      </c>
      <c r="T52" s="16" t="str">
        <f aca="false">IF(OR($B52="",T$4=""),"",IF(UPPER(TRIM(JAWABAN!T52))=T$4,1,0))</f>
        <v/>
      </c>
      <c r="U52" s="16" t="str">
        <f aca="false">IF(OR($B52="",U$4=""),"",IF(UPPER(TRIM(JAWABAN!U52))=U$4,1,0))</f>
        <v/>
      </c>
      <c r="V52" s="16" t="str">
        <f aca="false">IF(OR($B52="",V$4=""),"",IF(UPPER(TRIM(JAWABAN!V52))=V$4,1,0))</f>
        <v/>
      </c>
      <c r="W52" s="16" t="str">
        <f aca="false">IF(OR($B52="",W$4=""),"",IF(UPPER(TRIM(JAWABAN!W52))=W$4,1,0))</f>
        <v/>
      </c>
      <c r="X52" s="16" t="str">
        <f aca="false">IF(OR($B52="",X$4=""),"",IF(UPPER(TRIM(JAWABAN!X52))=X$4,1,0))</f>
        <v/>
      </c>
      <c r="Y52" s="16" t="str">
        <f aca="false">IF(OR($B52="",Y$4=""),"",IF(UPPER(TRIM(JAWABAN!Y52))=Y$4,1,0))</f>
        <v/>
      </c>
      <c r="Z52" s="16" t="str">
        <f aca="false">IF(OR($B52="",Z$4=""),"",IF(UPPER(TRIM(JAWABAN!Z52))=Z$4,1,0))</f>
        <v/>
      </c>
      <c r="AA52" s="16" t="str">
        <f aca="false">IF(OR($B52="",AA$4=""),"",IF(UPPER(TRIM(JAWABAN!AA52))=AA$4,1,0))</f>
        <v/>
      </c>
      <c r="AB52" s="16" t="str">
        <f aca="false">IF(OR($B52="",AB$4=""),"",IF(UPPER(TRIM(JAWABAN!AB52))=AB$4,1,0))</f>
        <v/>
      </c>
      <c r="AC52" s="16" t="str">
        <f aca="false">IF(OR($B52="",AC$4=""),"",IF(UPPER(TRIM(JAWABAN!AC52))=AC$4,1,0))</f>
        <v/>
      </c>
      <c r="AD52" s="16" t="str">
        <f aca="false">IF(OR($B52="",AD$4=""),"",IF(UPPER(TRIM(JAWABAN!AD52))=AD$4,1,0))</f>
        <v/>
      </c>
      <c r="AE52" s="16" t="str">
        <f aca="false">IF(OR($B52="",AE$4=""),"",IF(UPPER(TRIM(JAWABAN!AE52))=AE$4,1,0))</f>
        <v/>
      </c>
      <c r="AF52" s="16" t="str">
        <f aca="false">IF(OR($B52="",AF$4=""),"",IF(UPPER(TRIM(JAWABAN!AF52))=AF$4,1,0))</f>
        <v/>
      </c>
      <c r="AG52" s="16" t="str">
        <f aca="false">IF(OR($B52="",AG$4=""),"",IF(UPPER(TRIM(JAWABAN!AG52))=AG$4,1,0))</f>
        <v/>
      </c>
      <c r="AH52" s="16" t="str">
        <f aca="false">IF(OR($B52="",AH$4=""),"",IF(UPPER(TRIM(JAWABAN!AH52))=AH$4,1,0))</f>
        <v/>
      </c>
      <c r="AI52" s="16" t="str">
        <f aca="false">IF(OR($B52="",AI$4=""),"",IF(UPPER(TRIM(JAWABAN!AI52))=AI$4,1,0))</f>
        <v/>
      </c>
      <c r="AJ52" s="16" t="str">
        <f aca="false">IF(OR($B52="",AJ$4=""),"",IF(UPPER(TRIM(JAWABAN!AJ52))=AJ$4,1,0))</f>
        <v/>
      </c>
      <c r="AK52" s="16" t="str">
        <f aca="false">IF(OR($B52="",AK$4=""),"",IF(UPPER(TRIM(JAWABAN!AK52))=AK$4,1,0))</f>
        <v/>
      </c>
      <c r="AL52" s="16" t="str">
        <f aca="false">IF(OR($B52="",AL$4=""),"",IF(UPPER(TRIM(JAWABAN!AL52))=AL$4,1,0))</f>
        <v/>
      </c>
      <c r="AM52" s="16" t="str">
        <f aca="false">IF(OR($B52="",AM$4=""),"",IF(UPPER(TRIM(JAWABAN!AM52))=AM$4,1,0))</f>
        <v/>
      </c>
      <c r="AN52" s="16" t="str">
        <f aca="false">IF(OR($B52="",AN$4=""),"",IF(UPPER(TRIM(JAWABAN!AN52))=AN$4,1,0))</f>
        <v/>
      </c>
      <c r="AO52" s="16" t="str">
        <f aca="false">IF(OR($B52="",AO$4=""),"",IF(UPPER(TRIM(JAWABAN!AO52))=AO$4,1,0))</f>
        <v/>
      </c>
      <c r="AP52" s="16" t="str">
        <f aca="false">IF(OR($B52="",AP$4=""),"",IF(UPPER(TRIM(JAWABAN!AP52))=AP$4,1,0))</f>
        <v/>
      </c>
      <c r="AQ52" s="16" t="str">
        <f aca="false">IF(OR($B52="",AQ$4=""),"",IF(UPPER(TRIM(JAWABAN!AQ52))=AQ$4,1,0))</f>
        <v/>
      </c>
      <c r="AR52" s="16" t="str">
        <f aca="false">IF(OR($B52="",AR$4=""),"",IF(UPPER(TRIM(JAWABAN!AR52))=AR$4,1,0))</f>
        <v/>
      </c>
      <c r="AS52" s="30" t="str">
        <f aca="false">IF($B52="","",SUM(E52:AR52))</f>
        <v/>
      </c>
      <c r="AT52" s="31" t="str">
        <f aca="false">IF(AS52="","",IFERROR(ROUND(AS52/K_SOAL*100,2),""))</f>
        <v/>
      </c>
      <c r="AU52" s="16" t="str">
        <f aca="false">IF(AT52="","",IF(AT52&gt;=NILAI_KKM,"Tuntas","Belum tuntas"))</f>
        <v/>
      </c>
      <c r="AV52" s="32" t="str">
        <f aca="false">IF(AS52="","",AS52+(1000-ROW())/100000)</f>
        <v/>
      </c>
      <c r="AW52" s="33" t="str">
        <f aca="false">IF(AV52="","",RANK(AV52,$AV$6:$AV$55))</f>
        <v/>
      </c>
      <c r="AX52" s="30" t="str">
        <f aca="false">IF(AS52="","",RANK(AS52,$AS$6:$AS$55))</f>
        <v/>
      </c>
      <c r="AY52" s="16" t="str">
        <f aca="false">IF(AW52="","",IF(AW52&lt;=N_GRUP,"Atas",IF(AW52&gt;N_SISWA-N_GRUP,"Bawah","Tengah")))</f>
        <v/>
      </c>
    </row>
    <row r="53" customFormat="false" ht="15" hidden="false" customHeight="true" outlineLevel="0" collapsed="false">
      <c r="A53" s="16" t="n">
        <v>48</v>
      </c>
      <c r="B53" s="20" t="str">
        <f aca="false">IF(JAWABAN!B53="","",JAWABAN!B53)</f>
        <v/>
      </c>
      <c r="C53" s="20" t="str">
        <f aca="false">IF(JAWABAN!C53="","",JAWABAN!C53)</f>
        <v/>
      </c>
      <c r="D53" s="29" t="str">
        <f aca="false">IF(JAWABAN!D53="","",JAWABAN!D53)</f>
        <v/>
      </c>
      <c r="E53" s="16" t="str">
        <f aca="false">IF(OR($B53="",E$4=""),"",IF(UPPER(TRIM(JAWABAN!E53))=E$4,1,0))</f>
        <v/>
      </c>
      <c r="F53" s="16" t="str">
        <f aca="false">IF(OR($B53="",F$4=""),"",IF(UPPER(TRIM(JAWABAN!F53))=F$4,1,0))</f>
        <v/>
      </c>
      <c r="G53" s="16" t="str">
        <f aca="false">IF(OR($B53="",G$4=""),"",IF(UPPER(TRIM(JAWABAN!G53))=G$4,1,0))</f>
        <v/>
      </c>
      <c r="H53" s="16" t="str">
        <f aca="false">IF(OR($B53="",H$4=""),"",IF(UPPER(TRIM(JAWABAN!H53))=H$4,1,0))</f>
        <v/>
      </c>
      <c r="I53" s="16" t="str">
        <f aca="false">IF(OR($B53="",I$4=""),"",IF(UPPER(TRIM(JAWABAN!I53))=I$4,1,0))</f>
        <v/>
      </c>
      <c r="J53" s="16" t="str">
        <f aca="false">IF(OR($B53="",J$4=""),"",IF(UPPER(TRIM(JAWABAN!J53))=J$4,1,0))</f>
        <v/>
      </c>
      <c r="K53" s="16" t="str">
        <f aca="false">IF(OR($B53="",K$4=""),"",IF(UPPER(TRIM(JAWABAN!K53))=K$4,1,0))</f>
        <v/>
      </c>
      <c r="L53" s="16" t="str">
        <f aca="false">IF(OR($B53="",L$4=""),"",IF(UPPER(TRIM(JAWABAN!L53))=L$4,1,0))</f>
        <v/>
      </c>
      <c r="M53" s="16" t="str">
        <f aca="false">IF(OR($B53="",M$4=""),"",IF(UPPER(TRIM(JAWABAN!M53))=M$4,1,0))</f>
        <v/>
      </c>
      <c r="N53" s="16" t="str">
        <f aca="false">IF(OR($B53="",N$4=""),"",IF(UPPER(TRIM(JAWABAN!N53))=N$4,1,0))</f>
        <v/>
      </c>
      <c r="O53" s="16" t="str">
        <f aca="false">IF(OR($B53="",O$4=""),"",IF(UPPER(TRIM(JAWABAN!O53))=O$4,1,0))</f>
        <v/>
      </c>
      <c r="P53" s="16" t="str">
        <f aca="false">IF(OR($B53="",P$4=""),"",IF(UPPER(TRIM(JAWABAN!P53))=P$4,1,0))</f>
        <v/>
      </c>
      <c r="Q53" s="16" t="str">
        <f aca="false">IF(OR($B53="",Q$4=""),"",IF(UPPER(TRIM(JAWABAN!Q53))=Q$4,1,0))</f>
        <v/>
      </c>
      <c r="R53" s="16" t="str">
        <f aca="false">IF(OR($B53="",R$4=""),"",IF(UPPER(TRIM(JAWABAN!R53))=R$4,1,0))</f>
        <v/>
      </c>
      <c r="S53" s="16" t="str">
        <f aca="false">IF(OR($B53="",S$4=""),"",IF(UPPER(TRIM(JAWABAN!S53))=S$4,1,0))</f>
        <v/>
      </c>
      <c r="T53" s="16" t="str">
        <f aca="false">IF(OR($B53="",T$4=""),"",IF(UPPER(TRIM(JAWABAN!T53))=T$4,1,0))</f>
        <v/>
      </c>
      <c r="U53" s="16" t="str">
        <f aca="false">IF(OR($B53="",U$4=""),"",IF(UPPER(TRIM(JAWABAN!U53))=U$4,1,0))</f>
        <v/>
      </c>
      <c r="V53" s="16" t="str">
        <f aca="false">IF(OR($B53="",V$4=""),"",IF(UPPER(TRIM(JAWABAN!V53))=V$4,1,0))</f>
        <v/>
      </c>
      <c r="W53" s="16" t="str">
        <f aca="false">IF(OR($B53="",W$4=""),"",IF(UPPER(TRIM(JAWABAN!W53))=W$4,1,0))</f>
        <v/>
      </c>
      <c r="X53" s="16" t="str">
        <f aca="false">IF(OR($B53="",X$4=""),"",IF(UPPER(TRIM(JAWABAN!X53))=X$4,1,0))</f>
        <v/>
      </c>
      <c r="Y53" s="16" t="str">
        <f aca="false">IF(OR($B53="",Y$4=""),"",IF(UPPER(TRIM(JAWABAN!Y53))=Y$4,1,0))</f>
        <v/>
      </c>
      <c r="Z53" s="16" t="str">
        <f aca="false">IF(OR($B53="",Z$4=""),"",IF(UPPER(TRIM(JAWABAN!Z53))=Z$4,1,0))</f>
        <v/>
      </c>
      <c r="AA53" s="16" t="str">
        <f aca="false">IF(OR($B53="",AA$4=""),"",IF(UPPER(TRIM(JAWABAN!AA53))=AA$4,1,0))</f>
        <v/>
      </c>
      <c r="AB53" s="16" t="str">
        <f aca="false">IF(OR($B53="",AB$4=""),"",IF(UPPER(TRIM(JAWABAN!AB53))=AB$4,1,0))</f>
        <v/>
      </c>
      <c r="AC53" s="16" t="str">
        <f aca="false">IF(OR($B53="",AC$4=""),"",IF(UPPER(TRIM(JAWABAN!AC53))=AC$4,1,0))</f>
        <v/>
      </c>
      <c r="AD53" s="16" t="str">
        <f aca="false">IF(OR($B53="",AD$4=""),"",IF(UPPER(TRIM(JAWABAN!AD53))=AD$4,1,0))</f>
        <v/>
      </c>
      <c r="AE53" s="16" t="str">
        <f aca="false">IF(OR($B53="",AE$4=""),"",IF(UPPER(TRIM(JAWABAN!AE53))=AE$4,1,0))</f>
        <v/>
      </c>
      <c r="AF53" s="16" t="str">
        <f aca="false">IF(OR($B53="",AF$4=""),"",IF(UPPER(TRIM(JAWABAN!AF53))=AF$4,1,0))</f>
        <v/>
      </c>
      <c r="AG53" s="16" t="str">
        <f aca="false">IF(OR($B53="",AG$4=""),"",IF(UPPER(TRIM(JAWABAN!AG53))=AG$4,1,0))</f>
        <v/>
      </c>
      <c r="AH53" s="16" t="str">
        <f aca="false">IF(OR($B53="",AH$4=""),"",IF(UPPER(TRIM(JAWABAN!AH53))=AH$4,1,0))</f>
        <v/>
      </c>
      <c r="AI53" s="16" t="str">
        <f aca="false">IF(OR($B53="",AI$4=""),"",IF(UPPER(TRIM(JAWABAN!AI53))=AI$4,1,0))</f>
        <v/>
      </c>
      <c r="AJ53" s="16" t="str">
        <f aca="false">IF(OR($B53="",AJ$4=""),"",IF(UPPER(TRIM(JAWABAN!AJ53))=AJ$4,1,0))</f>
        <v/>
      </c>
      <c r="AK53" s="16" t="str">
        <f aca="false">IF(OR($B53="",AK$4=""),"",IF(UPPER(TRIM(JAWABAN!AK53))=AK$4,1,0))</f>
        <v/>
      </c>
      <c r="AL53" s="16" t="str">
        <f aca="false">IF(OR($B53="",AL$4=""),"",IF(UPPER(TRIM(JAWABAN!AL53))=AL$4,1,0))</f>
        <v/>
      </c>
      <c r="AM53" s="16" t="str">
        <f aca="false">IF(OR($B53="",AM$4=""),"",IF(UPPER(TRIM(JAWABAN!AM53))=AM$4,1,0))</f>
        <v/>
      </c>
      <c r="AN53" s="16" t="str">
        <f aca="false">IF(OR($B53="",AN$4=""),"",IF(UPPER(TRIM(JAWABAN!AN53))=AN$4,1,0))</f>
        <v/>
      </c>
      <c r="AO53" s="16" t="str">
        <f aca="false">IF(OR($B53="",AO$4=""),"",IF(UPPER(TRIM(JAWABAN!AO53))=AO$4,1,0))</f>
        <v/>
      </c>
      <c r="AP53" s="16" t="str">
        <f aca="false">IF(OR($B53="",AP$4=""),"",IF(UPPER(TRIM(JAWABAN!AP53))=AP$4,1,0))</f>
        <v/>
      </c>
      <c r="AQ53" s="16" t="str">
        <f aca="false">IF(OR($B53="",AQ$4=""),"",IF(UPPER(TRIM(JAWABAN!AQ53))=AQ$4,1,0))</f>
        <v/>
      </c>
      <c r="AR53" s="16" t="str">
        <f aca="false">IF(OR($B53="",AR$4=""),"",IF(UPPER(TRIM(JAWABAN!AR53))=AR$4,1,0))</f>
        <v/>
      </c>
      <c r="AS53" s="30" t="str">
        <f aca="false">IF($B53="","",SUM(E53:AR53))</f>
        <v/>
      </c>
      <c r="AT53" s="31" t="str">
        <f aca="false">IF(AS53="","",IFERROR(ROUND(AS53/K_SOAL*100,2),""))</f>
        <v/>
      </c>
      <c r="AU53" s="16" t="str">
        <f aca="false">IF(AT53="","",IF(AT53&gt;=NILAI_KKM,"Tuntas","Belum tuntas"))</f>
        <v/>
      </c>
      <c r="AV53" s="32" t="str">
        <f aca="false">IF(AS53="","",AS53+(1000-ROW())/100000)</f>
        <v/>
      </c>
      <c r="AW53" s="33" t="str">
        <f aca="false">IF(AV53="","",RANK(AV53,$AV$6:$AV$55))</f>
        <v/>
      </c>
      <c r="AX53" s="30" t="str">
        <f aca="false">IF(AS53="","",RANK(AS53,$AS$6:$AS$55))</f>
        <v/>
      </c>
      <c r="AY53" s="16" t="str">
        <f aca="false">IF(AW53="","",IF(AW53&lt;=N_GRUP,"Atas",IF(AW53&gt;N_SISWA-N_GRUP,"Bawah","Tengah")))</f>
        <v/>
      </c>
    </row>
    <row r="54" customFormat="false" ht="15" hidden="false" customHeight="true" outlineLevel="0" collapsed="false">
      <c r="A54" s="16" t="n">
        <v>49</v>
      </c>
      <c r="B54" s="20" t="str">
        <f aca="false">IF(JAWABAN!B54="","",JAWABAN!B54)</f>
        <v/>
      </c>
      <c r="C54" s="20" t="str">
        <f aca="false">IF(JAWABAN!C54="","",JAWABAN!C54)</f>
        <v/>
      </c>
      <c r="D54" s="29" t="str">
        <f aca="false">IF(JAWABAN!D54="","",JAWABAN!D54)</f>
        <v/>
      </c>
      <c r="E54" s="16" t="str">
        <f aca="false">IF(OR($B54="",E$4=""),"",IF(UPPER(TRIM(JAWABAN!E54))=E$4,1,0))</f>
        <v/>
      </c>
      <c r="F54" s="16" t="str">
        <f aca="false">IF(OR($B54="",F$4=""),"",IF(UPPER(TRIM(JAWABAN!F54))=F$4,1,0))</f>
        <v/>
      </c>
      <c r="G54" s="16" t="str">
        <f aca="false">IF(OR($B54="",G$4=""),"",IF(UPPER(TRIM(JAWABAN!G54))=G$4,1,0))</f>
        <v/>
      </c>
      <c r="H54" s="16" t="str">
        <f aca="false">IF(OR($B54="",H$4=""),"",IF(UPPER(TRIM(JAWABAN!H54))=H$4,1,0))</f>
        <v/>
      </c>
      <c r="I54" s="16" t="str">
        <f aca="false">IF(OR($B54="",I$4=""),"",IF(UPPER(TRIM(JAWABAN!I54))=I$4,1,0))</f>
        <v/>
      </c>
      <c r="J54" s="16" t="str">
        <f aca="false">IF(OR($B54="",J$4=""),"",IF(UPPER(TRIM(JAWABAN!J54))=J$4,1,0))</f>
        <v/>
      </c>
      <c r="K54" s="16" t="str">
        <f aca="false">IF(OR($B54="",K$4=""),"",IF(UPPER(TRIM(JAWABAN!K54))=K$4,1,0))</f>
        <v/>
      </c>
      <c r="L54" s="16" t="str">
        <f aca="false">IF(OR($B54="",L$4=""),"",IF(UPPER(TRIM(JAWABAN!L54))=L$4,1,0))</f>
        <v/>
      </c>
      <c r="M54" s="16" t="str">
        <f aca="false">IF(OR($B54="",M$4=""),"",IF(UPPER(TRIM(JAWABAN!M54))=M$4,1,0))</f>
        <v/>
      </c>
      <c r="N54" s="16" t="str">
        <f aca="false">IF(OR($B54="",N$4=""),"",IF(UPPER(TRIM(JAWABAN!N54))=N$4,1,0))</f>
        <v/>
      </c>
      <c r="O54" s="16" t="str">
        <f aca="false">IF(OR($B54="",O$4=""),"",IF(UPPER(TRIM(JAWABAN!O54))=O$4,1,0))</f>
        <v/>
      </c>
      <c r="P54" s="16" t="str">
        <f aca="false">IF(OR($B54="",P$4=""),"",IF(UPPER(TRIM(JAWABAN!P54))=P$4,1,0))</f>
        <v/>
      </c>
      <c r="Q54" s="16" t="str">
        <f aca="false">IF(OR($B54="",Q$4=""),"",IF(UPPER(TRIM(JAWABAN!Q54))=Q$4,1,0))</f>
        <v/>
      </c>
      <c r="R54" s="16" t="str">
        <f aca="false">IF(OR($B54="",R$4=""),"",IF(UPPER(TRIM(JAWABAN!R54))=R$4,1,0))</f>
        <v/>
      </c>
      <c r="S54" s="16" t="str">
        <f aca="false">IF(OR($B54="",S$4=""),"",IF(UPPER(TRIM(JAWABAN!S54))=S$4,1,0))</f>
        <v/>
      </c>
      <c r="T54" s="16" t="str">
        <f aca="false">IF(OR($B54="",T$4=""),"",IF(UPPER(TRIM(JAWABAN!T54))=T$4,1,0))</f>
        <v/>
      </c>
      <c r="U54" s="16" t="str">
        <f aca="false">IF(OR($B54="",U$4=""),"",IF(UPPER(TRIM(JAWABAN!U54))=U$4,1,0))</f>
        <v/>
      </c>
      <c r="V54" s="16" t="str">
        <f aca="false">IF(OR($B54="",V$4=""),"",IF(UPPER(TRIM(JAWABAN!V54))=V$4,1,0))</f>
        <v/>
      </c>
      <c r="W54" s="16" t="str">
        <f aca="false">IF(OR($B54="",W$4=""),"",IF(UPPER(TRIM(JAWABAN!W54))=W$4,1,0))</f>
        <v/>
      </c>
      <c r="X54" s="16" t="str">
        <f aca="false">IF(OR($B54="",X$4=""),"",IF(UPPER(TRIM(JAWABAN!X54))=X$4,1,0))</f>
        <v/>
      </c>
      <c r="Y54" s="16" t="str">
        <f aca="false">IF(OR($B54="",Y$4=""),"",IF(UPPER(TRIM(JAWABAN!Y54))=Y$4,1,0))</f>
        <v/>
      </c>
      <c r="Z54" s="16" t="str">
        <f aca="false">IF(OR($B54="",Z$4=""),"",IF(UPPER(TRIM(JAWABAN!Z54))=Z$4,1,0))</f>
        <v/>
      </c>
      <c r="AA54" s="16" t="str">
        <f aca="false">IF(OR($B54="",AA$4=""),"",IF(UPPER(TRIM(JAWABAN!AA54))=AA$4,1,0))</f>
        <v/>
      </c>
      <c r="AB54" s="16" t="str">
        <f aca="false">IF(OR($B54="",AB$4=""),"",IF(UPPER(TRIM(JAWABAN!AB54))=AB$4,1,0))</f>
        <v/>
      </c>
      <c r="AC54" s="16" t="str">
        <f aca="false">IF(OR($B54="",AC$4=""),"",IF(UPPER(TRIM(JAWABAN!AC54))=AC$4,1,0))</f>
        <v/>
      </c>
      <c r="AD54" s="16" t="str">
        <f aca="false">IF(OR($B54="",AD$4=""),"",IF(UPPER(TRIM(JAWABAN!AD54))=AD$4,1,0))</f>
        <v/>
      </c>
      <c r="AE54" s="16" t="str">
        <f aca="false">IF(OR($B54="",AE$4=""),"",IF(UPPER(TRIM(JAWABAN!AE54))=AE$4,1,0))</f>
        <v/>
      </c>
      <c r="AF54" s="16" t="str">
        <f aca="false">IF(OR($B54="",AF$4=""),"",IF(UPPER(TRIM(JAWABAN!AF54))=AF$4,1,0))</f>
        <v/>
      </c>
      <c r="AG54" s="16" t="str">
        <f aca="false">IF(OR($B54="",AG$4=""),"",IF(UPPER(TRIM(JAWABAN!AG54))=AG$4,1,0))</f>
        <v/>
      </c>
      <c r="AH54" s="16" t="str">
        <f aca="false">IF(OR($B54="",AH$4=""),"",IF(UPPER(TRIM(JAWABAN!AH54))=AH$4,1,0))</f>
        <v/>
      </c>
      <c r="AI54" s="16" t="str">
        <f aca="false">IF(OR($B54="",AI$4=""),"",IF(UPPER(TRIM(JAWABAN!AI54))=AI$4,1,0))</f>
        <v/>
      </c>
      <c r="AJ54" s="16" t="str">
        <f aca="false">IF(OR($B54="",AJ$4=""),"",IF(UPPER(TRIM(JAWABAN!AJ54))=AJ$4,1,0))</f>
        <v/>
      </c>
      <c r="AK54" s="16" t="str">
        <f aca="false">IF(OR($B54="",AK$4=""),"",IF(UPPER(TRIM(JAWABAN!AK54))=AK$4,1,0))</f>
        <v/>
      </c>
      <c r="AL54" s="16" t="str">
        <f aca="false">IF(OR($B54="",AL$4=""),"",IF(UPPER(TRIM(JAWABAN!AL54))=AL$4,1,0))</f>
        <v/>
      </c>
      <c r="AM54" s="16" t="str">
        <f aca="false">IF(OR($B54="",AM$4=""),"",IF(UPPER(TRIM(JAWABAN!AM54))=AM$4,1,0))</f>
        <v/>
      </c>
      <c r="AN54" s="16" t="str">
        <f aca="false">IF(OR($B54="",AN$4=""),"",IF(UPPER(TRIM(JAWABAN!AN54))=AN$4,1,0))</f>
        <v/>
      </c>
      <c r="AO54" s="16" t="str">
        <f aca="false">IF(OR($B54="",AO$4=""),"",IF(UPPER(TRIM(JAWABAN!AO54))=AO$4,1,0))</f>
        <v/>
      </c>
      <c r="AP54" s="16" t="str">
        <f aca="false">IF(OR($B54="",AP$4=""),"",IF(UPPER(TRIM(JAWABAN!AP54))=AP$4,1,0))</f>
        <v/>
      </c>
      <c r="AQ54" s="16" t="str">
        <f aca="false">IF(OR($B54="",AQ$4=""),"",IF(UPPER(TRIM(JAWABAN!AQ54))=AQ$4,1,0))</f>
        <v/>
      </c>
      <c r="AR54" s="16" t="str">
        <f aca="false">IF(OR($B54="",AR$4=""),"",IF(UPPER(TRIM(JAWABAN!AR54))=AR$4,1,0))</f>
        <v/>
      </c>
      <c r="AS54" s="30" t="str">
        <f aca="false">IF($B54="","",SUM(E54:AR54))</f>
        <v/>
      </c>
      <c r="AT54" s="31" t="str">
        <f aca="false">IF(AS54="","",IFERROR(ROUND(AS54/K_SOAL*100,2),""))</f>
        <v/>
      </c>
      <c r="AU54" s="16" t="str">
        <f aca="false">IF(AT54="","",IF(AT54&gt;=NILAI_KKM,"Tuntas","Belum tuntas"))</f>
        <v/>
      </c>
      <c r="AV54" s="32" t="str">
        <f aca="false">IF(AS54="","",AS54+(1000-ROW())/100000)</f>
        <v/>
      </c>
      <c r="AW54" s="33" t="str">
        <f aca="false">IF(AV54="","",RANK(AV54,$AV$6:$AV$55))</f>
        <v/>
      </c>
      <c r="AX54" s="30" t="str">
        <f aca="false">IF(AS54="","",RANK(AS54,$AS$6:$AS$55))</f>
        <v/>
      </c>
      <c r="AY54" s="16" t="str">
        <f aca="false">IF(AW54="","",IF(AW54&lt;=N_GRUP,"Atas",IF(AW54&gt;N_SISWA-N_GRUP,"Bawah","Tengah")))</f>
        <v/>
      </c>
    </row>
    <row r="55" customFormat="false" ht="15" hidden="false" customHeight="true" outlineLevel="0" collapsed="false">
      <c r="A55" s="16" t="n">
        <v>50</v>
      </c>
      <c r="B55" s="20" t="str">
        <f aca="false">IF(JAWABAN!B55="","",JAWABAN!B55)</f>
        <v/>
      </c>
      <c r="C55" s="20" t="str">
        <f aca="false">IF(JAWABAN!C55="","",JAWABAN!C55)</f>
        <v/>
      </c>
      <c r="D55" s="29" t="str">
        <f aca="false">IF(JAWABAN!D55="","",JAWABAN!D55)</f>
        <v/>
      </c>
      <c r="E55" s="16" t="str">
        <f aca="false">IF(OR($B55="",E$4=""),"",IF(UPPER(TRIM(JAWABAN!E55))=E$4,1,0))</f>
        <v/>
      </c>
      <c r="F55" s="16" t="str">
        <f aca="false">IF(OR($B55="",F$4=""),"",IF(UPPER(TRIM(JAWABAN!F55))=F$4,1,0))</f>
        <v/>
      </c>
      <c r="G55" s="16" t="str">
        <f aca="false">IF(OR($B55="",G$4=""),"",IF(UPPER(TRIM(JAWABAN!G55))=G$4,1,0))</f>
        <v/>
      </c>
      <c r="H55" s="16" t="str">
        <f aca="false">IF(OR($B55="",H$4=""),"",IF(UPPER(TRIM(JAWABAN!H55))=H$4,1,0))</f>
        <v/>
      </c>
      <c r="I55" s="16" t="str">
        <f aca="false">IF(OR($B55="",I$4=""),"",IF(UPPER(TRIM(JAWABAN!I55))=I$4,1,0))</f>
        <v/>
      </c>
      <c r="J55" s="16" t="str">
        <f aca="false">IF(OR($B55="",J$4=""),"",IF(UPPER(TRIM(JAWABAN!J55))=J$4,1,0))</f>
        <v/>
      </c>
      <c r="K55" s="16" t="str">
        <f aca="false">IF(OR($B55="",K$4=""),"",IF(UPPER(TRIM(JAWABAN!K55))=K$4,1,0))</f>
        <v/>
      </c>
      <c r="L55" s="16" t="str">
        <f aca="false">IF(OR($B55="",L$4=""),"",IF(UPPER(TRIM(JAWABAN!L55))=L$4,1,0))</f>
        <v/>
      </c>
      <c r="M55" s="16" t="str">
        <f aca="false">IF(OR($B55="",M$4=""),"",IF(UPPER(TRIM(JAWABAN!M55))=M$4,1,0))</f>
        <v/>
      </c>
      <c r="N55" s="16" t="str">
        <f aca="false">IF(OR($B55="",N$4=""),"",IF(UPPER(TRIM(JAWABAN!N55))=N$4,1,0))</f>
        <v/>
      </c>
      <c r="O55" s="16" t="str">
        <f aca="false">IF(OR($B55="",O$4=""),"",IF(UPPER(TRIM(JAWABAN!O55))=O$4,1,0))</f>
        <v/>
      </c>
      <c r="P55" s="16" t="str">
        <f aca="false">IF(OR($B55="",P$4=""),"",IF(UPPER(TRIM(JAWABAN!P55))=P$4,1,0))</f>
        <v/>
      </c>
      <c r="Q55" s="16" t="str">
        <f aca="false">IF(OR($B55="",Q$4=""),"",IF(UPPER(TRIM(JAWABAN!Q55))=Q$4,1,0))</f>
        <v/>
      </c>
      <c r="R55" s="16" t="str">
        <f aca="false">IF(OR($B55="",R$4=""),"",IF(UPPER(TRIM(JAWABAN!R55))=R$4,1,0))</f>
        <v/>
      </c>
      <c r="S55" s="16" t="str">
        <f aca="false">IF(OR($B55="",S$4=""),"",IF(UPPER(TRIM(JAWABAN!S55))=S$4,1,0))</f>
        <v/>
      </c>
      <c r="T55" s="16" t="str">
        <f aca="false">IF(OR($B55="",T$4=""),"",IF(UPPER(TRIM(JAWABAN!T55))=T$4,1,0))</f>
        <v/>
      </c>
      <c r="U55" s="16" t="str">
        <f aca="false">IF(OR($B55="",U$4=""),"",IF(UPPER(TRIM(JAWABAN!U55))=U$4,1,0))</f>
        <v/>
      </c>
      <c r="V55" s="16" t="str">
        <f aca="false">IF(OR($B55="",V$4=""),"",IF(UPPER(TRIM(JAWABAN!V55))=V$4,1,0))</f>
        <v/>
      </c>
      <c r="W55" s="16" t="str">
        <f aca="false">IF(OR($B55="",W$4=""),"",IF(UPPER(TRIM(JAWABAN!W55))=W$4,1,0))</f>
        <v/>
      </c>
      <c r="X55" s="16" t="str">
        <f aca="false">IF(OR($B55="",X$4=""),"",IF(UPPER(TRIM(JAWABAN!X55))=X$4,1,0))</f>
        <v/>
      </c>
      <c r="Y55" s="16" t="str">
        <f aca="false">IF(OR($B55="",Y$4=""),"",IF(UPPER(TRIM(JAWABAN!Y55))=Y$4,1,0))</f>
        <v/>
      </c>
      <c r="Z55" s="16" t="str">
        <f aca="false">IF(OR($B55="",Z$4=""),"",IF(UPPER(TRIM(JAWABAN!Z55))=Z$4,1,0))</f>
        <v/>
      </c>
      <c r="AA55" s="16" t="str">
        <f aca="false">IF(OR($B55="",AA$4=""),"",IF(UPPER(TRIM(JAWABAN!AA55))=AA$4,1,0))</f>
        <v/>
      </c>
      <c r="AB55" s="16" t="str">
        <f aca="false">IF(OR($B55="",AB$4=""),"",IF(UPPER(TRIM(JAWABAN!AB55))=AB$4,1,0))</f>
        <v/>
      </c>
      <c r="AC55" s="16" t="str">
        <f aca="false">IF(OR($B55="",AC$4=""),"",IF(UPPER(TRIM(JAWABAN!AC55))=AC$4,1,0))</f>
        <v/>
      </c>
      <c r="AD55" s="16" t="str">
        <f aca="false">IF(OR($B55="",AD$4=""),"",IF(UPPER(TRIM(JAWABAN!AD55))=AD$4,1,0))</f>
        <v/>
      </c>
      <c r="AE55" s="16" t="str">
        <f aca="false">IF(OR($B55="",AE$4=""),"",IF(UPPER(TRIM(JAWABAN!AE55))=AE$4,1,0))</f>
        <v/>
      </c>
      <c r="AF55" s="16" t="str">
        <f aca="false">IF(OR($B55="",AF$4=""),"",IF(UPPER(TRIM(JAWABAN!AF55))=AF$4,1,0))</f>
        <v/>
      </c>
      <c r="AG55" s="16" t="str">
        <f aca="false">IF(OR($B55="",AG$4=""),"",IF(UPPER(TRIM(JAWABAN!AG55))=AG$4,1,0))</f>
        <v/>
      </c>
      <c r="AH55" s="16" t="str">
        <f aca="false">IF(OR($B55="",AH$4=""),"",IF(UPPER(TRIM(JAWABAN!AH55))=AH$4,1,0))</f>
        <v/>
      </c>
      <c r="AI55" s="16" t="str">
        <f aca="false">IF(OR($B55="",AI$4=""),"",IF(UPPER(TRIM(JAWABAN!AI55))=AI$4,1,0))</f>
        <v/>
      </c>
      <c r="AJ55" s="16" t="str">
        <f aca="false">IF(OR($B55="",AJ$4=""),"",IF(UPPER(TRIM(JAWABAN!AJ55))=AJ$4,1,0))</f>
        <v/>
      </c>
      <c r="AK55" s="16" t="str">
        <f aca="false">IF(OR($B55="",AK$4=""),"",IF(UPPER(TRIM(JAWABAN!AK55))=AK$4,1,0))</f>
        <v/>
      </c>
      <c r="AL55" s="16" t="str">
        <f aca="false">IF(OR($B55="",AL$4=""),"",IF(UPPER(TRIM(JAWABAN!AL55))=AL$4,1,0))</f>
        <v/>
      </c>
      <c r="AM55" s="16" t="str">
        <f aca="false">IF(OR($B55="",AM$4=""),"",IF(UPPER(TRIM(JAWABAN!AM55))=AM$4,1,0))</f>
        <v/>
      </c>
      <c r="AN55" s="16" t="str">
        <f aca="false">IF(OR($B55="",AN$4=""),"",IF(UPPER(TRIM(JAWABAN!AN55))=AN$4,1,0))</f>
        <v/>
      </c>
      <c r="AO55" s="16" t="str">
        <f aca="false">IF(OR($B55="",AO$4=""),"",IF(UPPER(TRIM(JAWABAN!AO55))=AO$4,1,0))</f>
        <v/>
      </c>
      <c r="AP55" s="16" t="str">
        <f aca="false">IF(OR($B55="",AP$4=""),"",IF(UPPER(TRIM(JAWABAN!AP55))=AP$4,1,0))</f>
        <v/>
      </c>
      <c r="AQ55" s="16" t="str">
        <f aca="false">IF(OR($B55="",AQ$4=""),"",IF(UPPER(TRIM(JAWABAN!AQ55))=AQ$4,1,0))</f>
        <v/>
      </c>
      <c r="AR55" s="16" t="str">
        <f aca="false">IF(OR($B55="",AR$4=""),"",IF(UPPER(TRIM(JAWABAN!AR55))=AR$4,1,0))</f>
        <v/>
      </c>
      <c r="AS55" s="30" t="str">
        <f aca="false">IF($B55="","",SUM(E55:AR55))</f>
        <v/>
      </c>
      <c r="AT55" s="31" t="str">
        <f aca="false">IF(AS55="","",IFERROR(ROUND(AS55/K_SOAL*100,2),""))</f>
        <v/>
      </c>
      <c r="AU55" s="16" t="str">
        <f aca="false">IF(AT55="","",IF(AT55&gt;=NILAI_KKM,"Tuntas","Belum tuntas"))</f>
        <v/>
      </c>
      <c r="AV55" s="32" t="str">
        <f aca="false">IF(AS55="","",AS55+(1000-ROW())/100000)</f>
        <v/>
      </c>
      <c r="AW55" s="33" t="str">
        <f aca="false">IF(AV55="","",RANK(AV55,$AV$6:$AV$55))</f>
        <v/>
      </c>
      <c r="AX55" s="30" t="str">
        <f aca="false">IF(AS55="","",RANK(AS55,$AS$6:$AS$55))</f>
        <v/>
      </c>
      <c r="AY55" s="16" t="str">
        <f aca="false">IF(AW55="","",IF(AW55&lt;=N_GRUP,"Atas",IF(AW55&gt;N_SISWA-N_GRUP,"Bawah","Tengah")))</f>
        <v/>
      </c>
    </row>
  </sheetData>
  <printOptions headings="false" gridLines="false" gridLinesSet="true" horizontalCentered="false" verticalCentered="false"/>
  <pageMargins left="0.140277777777778" right="0.190277777777778" top="1" bottom="0.72986111111111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I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E14" activeCellId="0" sqref="E14"/>
    </sheetView>
  </sheetViews>
  <sheetFormatPr defaultColWidth="8.6328125" defaultRowHeight="14.2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9"/>
    <col collapsed="false" customWidth="true" hidden="false" outlineLevel="0" max="4" min="4" style="0" width="13"/>
    <col collapsed="false" customWidth="true" hidden="false" outlineLevel="0" max="5" min="5" style="0" width="8.82"/>
    <col collapsed="false" customWidth="true" hidden="false" outlineLevel="0" max="6" min="6" style="0" width="9"/>
    <col collapsed="false" customWidth="true" hidden="false" outlineLevel="0" max="7" min="7" style="0" width="15"/>
    <col collapsed="false" customWidth="true" hidden="false" outlineLevel="0" max="9" min="8" style="0" width="11"/>
  </cols>
  <sheetData>
    <row r="1" customFormat="false" ht="17.25" hidden="false" customHeight="true" outlineLevel="0" collapsed="false">
      <c r="A1" s="12" t="s">
        <v>181</v>
      </c>
    </row>
    <row r="2" customFormat="false" ht="15" hidden="false" customHeight="true" outlineLevel="0" collapsed="false">
      <c r="A2" s="13" t="str">
        <f aca="false">UPPER(NAMA_MADRASAH)&amp;" | TAHUN PELAJARAN "&amp;TAHUN_AJAR</f>
        <v>MTSN 3 SUBANG | TAHUN PELAJARAN 2025-2026</v>
      </c>
    </row>
    <row r="3" customFormat="false" ht="15" hidden="false" customHeight="true" outlineLevel="0" collapsed="false">
      <c r="A3" s="14" t="str">
        <f aca="false">MAPEL&amp;" | Kelas "&amp;KELAS&amp;" | Semester "&amp;SEMESTER&amp;" | "&amp;JENIS_TES</f>
        <v>Bahasa Indonesia | Kelas IX G | Semester Ganjil | Penilaian Akhir Semester</v>
      </c>
    </row>
    <row r="5" customFormat="false" ht="30" hidden="false" customHeight="true" outlineLevel="0" collapsed="false">
      <c r="A5" s="8" t="s">
        <v>47</v>
      </c>
      <c r="B5" s="8" t="s">
        <v>108</v>
      </c>
      <c r="C5" s="8" t="s">
        <v>69</v>
      </c>
      <c r="D5" s="8" t="s">
        <v>182</v>
      </c>
      <c r="E5" s="8" t="s">
        <v>183</v>
      </c>
      <c r="F5" s="8" t="s">
        <v>175</v>
      </c>
      <c r="G5" s="8" t="s">
        <v>184</v>
      </c>
      <c r="H5" s="8" t="s">
        <v>179</v>
      </c>
      <c r="I5" s="8" t="s">
        <v>180</v>
      </c>
    </row>
    <row r="6" customFormat="false" ht="15" hidden="false" customHeight="true" outlineLevel="0" collapsed="false">
      <c r="A6" s="16" t="n">
        <f aca="false">IF(SKOR!B6="","",SKOR!A6)</f>
        <v>1</v>
      </c>
      <c r="B6" s="20" t="str">
        <f aca="false">SKOR!B6</f>
        <v>SISWA 01</v>
      </c>
      <c r="C6" s="16" t="str">
        <f aca="false">SKOR!C6</f>
        <v>IX G</v>
      </c>
      <c r="D6" s="30" t="n">
        <f aca="false">SKOR!AS6</f>
        <v>14</v>
      </c>
      <c r="E6" s="16" t="n">
        <f aca="false">IF(D6="","",K_SOAL-D6)</f>
        <v>26</v>
      </c>
      <c r="F6" s="31" t="n">
        <f aca="false">SKOR!AT6</f>
        <v>35</v>
      </c>
      <c r="G6" s="16" t="str">
        <f aca="false">SKOR!AU6</f>
        <v>Belum tuntas</v>
      </c>
      <c r="H6" s="30" t="n">
        <f aca="false">SKOR!AX6</f>
        <v>30</v>
      </c>
      <c r="I6" s="16" t="str">
        <f aca="false">SKOR!AY6</f>
        <v>Bawah</v>
      </c>
    </row>
    <row r="7" customFormat="false" ht="15" hidden="false" customHeight="true" outlineLevel="0" collapsed="false">
      <c r="A7" s="16" t="n">
        <f aca="false">IF(SKOR!B7="","",SKOR!A7)</f>
        <v>2</v>
      </c>
      <c r="B7" s="20" t="str">
        <f aca="false">SKOR!B7</f>
        <v>SISWA 02</v>
      </c>
      <c r="C7" s="16" t="str">
        <f aca="false">SKOR!C7</f>
        <v>IX G</v>
      </c>
      <c r="D7" s="30" t="n">
        <f aca="false">SKOR!AS7</f>
        <v>33</v>
      </c>
      <c r="E7" s="16" t="n">
        <f aca="false">IF(D7="","",K_SOAL-D7)</f>
        <v>7</v>
      </c>
      <c r="F7" s="31" t="n">
        <f aca="false">SKOR!AT7</f>
        <v>82.5</v>
      </c>
      <c r="G7" s="16" t="str">
        <f aca="false">SKOR!AU7</f>
        <v>Tuntas</v>
      </c>
      <c r="H7" s="30" t="n">
        <f aca="false">SKOR!AX7</f>
        <v>2</v>
      </c>
      <c r="I7" s="16" t="str">
        <f aca="false">SKOR!AY7</f>
        <v>Atas</v>
      </c>
    </row>
    <row r="8" customFormat="false" ht="15" hidden="false" customHeight="true" outlineLevel="0" collapsed="false">
      <c r="A8" s="16" t="n">
        <f aca="false">IF(SKOR!B8="","",SKOR!A8)</f>
        <v>3</v>
      </c>
      <c r="B8" s="20" t="str">
        <f aca="false">SKOR!B8</f>
        <v>SISWA 03</v>
      </c>
      <c r="C8" s="16" t="str">
        <f aca="false">SKOR!C8</f>
        <v>IX G</v>
      </c>
      <c r="D8" s="30" t="n">
        <f aca="false">SKOR!AS8</f>
        <v>18</v>
      </c>
      <c r="E8" s="16" t="n">
        <f aca="false">IF(D8="","",K_SOAL-D8)</f>
        <v>22</v>
      </c>
      <c r="F8" s="31" t="n">
        <f aca="false">SKOR!AT8</f>
        <v>45</v>
      </c>
      <c r="G8" s="16" t="str">
        <f aca="false">SKOR!AU8</f>
        <v>Belum tuntas</v>
      </c>
      <c r="H8" s="30" t="n">
        <f aca="false">SKOR!AX8</f>
        <v>26</v>
      </c>
      <c r="I8" s="16" t="str">
        <f aca="false">SKOR!AY8</f>
        <v>Bawah</v>
      </c>
    </row>
    <row r="9" customFormat="false" ht="15" hidden="false" customHeight="true" outlineLevel="0" collapsed="false">
      <c r="A9" s="16" t="n">
        <f aca="false">IF(SKOR!B9="","",SKOR!A9)</f>
        <v>4</v>
      </c>
      <c r="B9" s="20" t="str">
        <f aca="false">SKOR!B9</f>
        <v>SISWA 04</v>
      </c>
      <c r="C9" s="16" t="str">
        <f aca="false">SKOR!C9</f>
        <v>IX G</v>
      </c>
      <c r="D9" s="30" t="n">
        <f aca="false">SKOR!AS9</f>
        <v>20</v>
      </c>
      <c r="E9" s="16" t="n">
        <f aca="false">IF(D9="","",K_SOAL-D9)</f>
        <v>20</v>
      </c>
      <c r="F9" s="31" t="n">
        <f aca="false">SKOR!AT9</f>
        <v>50</v>
      </c>
      <c r="G9" s="16" t="str">
        <f aca="false">SKOR!AU9</f>
        <v>Belum tuntas</v>
      </c>
      <c r="H9" s="30" t="n">
        <f aca="false">SKOR!AX9</f>
        <v>21</v>
      </c>
      <c r="I9" s="16" t="str">
        <f aca="false">SKOR!AY9</f>
        <v>Tengah</v>
      </c>
    </row>
    <row r="10" customFormat="false" ht="15" hidden="false" customHeight="true" outlineLevel="0" collapsed="false">
      <c r="A10" s="16" t="n">
        <f aca="false">IF(SKOR!B10="","",SKOR!A10)</f>
        <v>5</v>
      </c>
      <c r="B10" s="20" t="str">
        <f aca="false">SKOR!B10</f>
        <v>SISWA 05</v>
      </c>
      <c r="C10" s="16" t="str">
        <f aca="false">SKOR!C10</f>
        <v>IX G</v>
      </c>
      <c r="D10" s="30" t="n">
        <f aca="false">SKOR!AS10</f>
        <v>35</v>
      </c>
      <c r="E10" s="16" t="n">
        <f aca="false">IF(D10="","",K_SOAL-D10)</f>
        <v>5</v>
      </c>
      <c r="F10" s="31" t="n">
        <f aca="false">SKOR!AT10</f>
        <v>87.5</v>
      </c>
      <c r="G10" s="16" t="str">
        <f aca="false">SKOR!AU10</f>
        <v>Tuntas</v>
      </c>
      <c r="H10" s="30" t="n">
        <f aca="false">SKOR!AX10</f>
        <v>1</v>
      </c>
      <c r="I10" s="16" t="str">
        <f aca="false">SKOR!AY10</f>
        <v>Atas</v>
      </c>
    </row>
    <row r="11" customFormat="false" ht="15" hidden="false" customHeight="true" outlineLevel="0" collapsed="false">
      <c r="A11" s="16" t="n">
        <f aca="false">IF(SKOR!B11="","",SKOR!A11)</f>
        <v>6</v>
      </c>
      <c r="B11" s="20" t="str">
        <f aca="false">SKOR!B11</f>
        <v>SISWA 06</v>
      </c>
      <c r="C11" s="16" t="str">
        <f aca="false">SKOR!C11</f>
        <v>IX G</v>
      </c>
      <c r="D11" s="30" t="n">
        <f aca="false">SKOR!AS11</f>
        <v>29</v>
      </c>
      <c r="E11" s="16" t="n">
        <f aca="false">IF(D11="","",K_SOAL-D11)</f>
        <v>11</v>
      </c>
      <c r="F11" s="31" t="n">
        <f aca="false">SKOR!AT11</f>
        <v>72.5</v>
      </c>
      <c r="G11" s="16" t="str">
        <f aca="false">SKOR!AU11</f>
        <v>Belum tuntas</v>
      </c>
      <c r="H11" s="30" t="n">
        <f aca="false">SKOR!AX11</f>
        <v>7</v>
      </c>
      <c r="I11" s="16" t="str">
        <f aca="false">SKOR!AY11</f>
        <v>Atas</v>
      </c>
    </row>
    <row r="12" customFormat="false" ht="15" hidden="false" customHeight="true" outlineLevel="0" collapsed="false">
      <c r="A12" s="16" t="n">
        <f aca="false">IF(SKOR!B12="","",SKOR!A12)</f>
        <v>7</v>
      </c>
      <c r="B12" s="20" t="str">
        <f aca="false">SKOR!B12</f>
        <v>SISWA 07</v>
      </c>
      <c r="C12" s="16" t="str">
        <f aca="false">SKOR!C12</f>
        <v>IX G</v>
      </c>
      <c r="D12" s="30" t="n">
        <f aca="false">SKOR!AS12</f>
        <v>23</v>
      </c>
      <c r="E12" s="16" t="n">
        <f aca="false">IF(D12="","",K_SOAL-D12)</f>
        <v>17</v>
      </c>
      <c r="F12" s="31" t="n">
        <f aca="false">SKOR!AT12</f>
        <v>57.5</v>
      </c>
      <c r="G12" s="16" t="str">
        <f aca="false">SKOR!AU12</f>
        <v>Belum tuntas</v>
      </c>
      <c r="H12" s="30" t="n">
        <f aca="false">SKOR!AX12</f>
        <v>16</v>
      </c>
      <c r="I12" s="16" t="str">
        <f aca="false">SKOR!AY12</f>
        <v>Tengah</v>
      </c>
    </row>
    <row r="13" customFormat="false" ht="15" hidden="false" customHeight="true" outlineLevel="0" collapsed="false">
      <c r="A13" s="16" t="n">
        <f aca="false">IF(SKOR!B13="","",SKOR!A13)</f>
        <v>8</v>
      </c>
      <c r="B13" s="20" t="str">
        <f aca="false">SKOR!B13</f>
        <v>SISWA 08</v>
      </c>
      <c r="C13" s="16" t="str">
        <f aca="false">SKOR!C13</f>
        <v>IX G</v>
      </c>
      <c r="D13" s="30" t="n">
        <f aca="false">SKOR!AS13</f>
        <v>17</v>
      </c>
      <c r="E13" s="16" t="n">
        <f aca="false">IF(D13="","",K_SOAL-D13)</f>
        <v>23</v>
      </c>
      <c r="F13" s="31" t="n">
        <f aca="false">SKOR!AT13</f>
        <v>42.5</v>
      </c>
      <c r="G13" s="16" t="str">
        <f aca="false">SKOR!AU13</f>
        <v>Belum tuntas</v>
      </c>
      <c r="H13" s="30" t="n">
        <f aca="false">SKOR!AX13</f>
        <v>27</v>
      </c>
      <c r="I13" s="16" t="str">
        <f aca="false">SKOR!AY13</f>
        <v>Bawah</v>
      </c>
    </row>
    <row r="14" customFormat="false" ht="15" hidden="false" customHeight="true" outlineLevel="0" collapsed="false">
      <c r="A14" s="16" t="n">
        <f aca="false">IF(SKOR!B14="","",SKOR!A14)</f>
        <v>9</v>
      </c>
      <c r="B14" s="20" t="str">
        <f aca="false">SKOR!B14</f>
        <v>SISWA 09</v>
      </c>
      <c r="C14" s="16" t="str">
        <f aca="false">SKOR!C14</f>
        <v>IX G</v>
      </c>
      <c r="D14" s="30" t="n">
        <f aca="false">SKOR!AS14</f>
        <v>19</v>
      </c>
      <c r="E14" s="16" t="n">
        <f aca="false">IF(D14="","",K_SOAL-D14)</f>
        <v>21</v>
      </c>
      <c r="F14" s="31" t="n">
        <f aca="false">SKOR!AT14</f>
        <v>47.5</v>
      </c>
      <c r="G14" s="16" t="str">
        <f aca="false">SKOR!AU14</f>
        <v>Belum tuntas</v>
      </c>
      <c r="H14" s="30" t="n">
        <f aca="false">SKOR!AX14</f>
        <v>24</v>
      </c>
      <c r="I14" s="16" t="str">
        <f aca="false">SKOR!AY14</f>
        <v>Bawah</v>
      </c>
    </row>
    <row r="15" customFormat="false" ht="15" hidden="false" customHeight="true" outlineLevel="0" collapsed="false">
      <c r="A15" s="16" t="n">
        <f aca="false">IF(SKOR!B15="","",SKOR!A15)</f>
        <v>10</v>
      </c>
      <c r="B15" s="20" t="str">
        <f aca="false">SKOR!B15</f>
        <v>SISWA 10</v>
      </c>
      <c r="C15" s="16" t="str">
        <f aca="false">SKOR!C15</f>
        <v>IX G</v>
      </c>
      <c r="D15" s="30" t="n">
        <f aca="false">SKOR!AS15</f>
        <v>20</v>
      </c>
      <c r="E15" s="16" t="n">
        <f aca="false">IF(D15="","",K_SOAL-D15)</f>
        <v>20</v>
      </c>
      <c r="F15" s="31" t="n">
        <f aca="false">SKOR!AT15</f>
        <v>50</v>
      </c>
      <c r="G15" s="16" t="str">
        <f aca="false">SKOR!AU15</f>
        <v>Belum tuntas</v>
      </c>
      <c r="H15" s="30" t="n">
        <f aca="false">SKOR!AX15</f>
        <v>21</v>
      </c>
      <c r="I15" s="16" t="str">
        <f aca="false">SKOR!AY15</f>
        <v>Tengah</v>
      </c>
    </row>
    <row r="16" customFormat="false" ht="15" hidden="false" customHeight="true" outlineLevel="0" collapsed="false">
      <c r="A16" s="16" t="n">
        <f aca="false">IF(SKOR!B16="","",SKOR!A16)</f>
        <v>11</v>
      </c>
      <c r="B16" s="20" t="str">
        <f aca="false">SKOR!B16</f>
        <v>SISWA 11</v>
      </c>
      <c r="C16" s="16" t="str">
        <f aca="false">SKOR!C16</f>
        <v>IX G</v>
      </c>
      <c r="D16" s="30" t="n">
        <f aca="false">SKOR!AS16</f>
        <v>29</v>
      </c>
      <c r="E16" s="16" t="n">
        <f aca="false">IF(D16="","",K_SOAL-D16)</f>
        <v>11</v>
      </c>
      <c r="F16" s="31" t="n">
        <f aca="false">SKOR!AT16</f>
        <v>72.5</v>
      </c>
      <c r="G16" s="16" t="str">
        <f aca="false">SKOR!AU16</f>
        <v>Belum tuntas</v>
      </c>
      <c r="H16" s="30" t="n">
        <f aca="false">SKOR!AX16</f>
        <v>7</v>
      </c>
      <c r="I16" s="16" t="str">
        <f aca="false">SKOR!AY16</f>
        <v>Atas</v>
      </c>
    </row>
    <row r="17" customFormat="false" ht="15" hidden="false" customHeight="true" outlineLevel="0" collapsed="false">
      <c r="A17" s="16" t="n">
        <f aca="false">IF(SKOR!B17="","",SKOR!A17)</f>
        <v>12</v>
      </c>
      <c r="B17" s="20" t="str">
        <f aca="false">SKOR!B17</f>
        <v>SISWA 12</v>
      </c>
      <c r="C17" s="16" t="str">
        <f aca="false">SKOR!C17</f>
        <v>IX G</v>
      </c>
      <c r="D17" s="30" t="n">
        <f aca="false">SKOR!AS17</f>
        <v>23</v>
      </c>
      <c r="E17" s="16" t="n">
        <f aca="false">IF(D17="","",K_SOAL-D17)</f>
        <v>17</v>
      </c>
      <c r="F17" s="31" t="n">
        <f aca="false">SKOR!AT17</f>
        <v>57.5</v>
      </c>
      <c r="G17" s="16" t="str">
        <f aca="false">SKOR!AU17</f>
        <v>Belum tuntas</v>
      </c>
      <c r="H17" s="30" t="n">
        <f aca="false">SKOR!AX17</f>
        <v>16</v>
      </c>
      <c r="I17" s="16" t="str">
        <f aca="false">SKOR!AY17</f>
        <v>Tengah</v>
      </c>
    </row>
    <row r="18" customFormat="false" ht="15" hidden="false" customHeight="true" outlineLevel="0" collapsed="false">
      <c r="A18" s="16" t="n">
        <f aca="false">IF(SKOR!B18="","",SKOR!A18)</f>
        <v>13</v>
      </c>
      <c r="B18" s="20" t="str">
        <f aca="false">SKOR!B18</f>
        <v>SISWA 13</v>
      </c>
      <c r="C18" s="16" t="str">
        <f aca="false">SKOR!C18</f>
        <v>IX G</v>
      </c>
      <c r="D18" s="30" t="n">
        <f aca="false">SKOR!AS18</f>
        <v>32</v>
      </c>
      <c r="E18" s="16" t="n">
        <f aca="false">IF(D18="","",K_SOAL-D18)</f>
        <v>8</v>
      </c>
      <c r="F18" s="31" t="n">
        <f aca="false">SKOR!AT18</f>
        <v>80</v>
      </c>
      <c r="G18" s="16" t="str">
        <f aca="false">SKOR!AU18</f>
        <v>Tuntas</v>
      </c>
      <c r="H18" s="30" t="n">
        <f aca="false">SKOR!AX18</f>
        <v>3</v>
      </c>
      <c r="I18" s="16" t="str">
        <f aca="false">SKOR!AY18</f>
        <v>Atas</v>
      </c>
    </row>
    <row r="19" customFormat="false" ht="15" hidden="false" customHeight="true" outlineLevel="0" collapsed="false">
      <c r="A19" s="16" t="n">
        <f aca="false">IF(SKOR!B19="","",SKOR!A19)</f>
        <v>14</v>
      </c>
      <c r="B19" s="20" t="str">
        <f aca="false">SKOR!B19</f>
        <v>SISWA 14</v>
      </c>
      <c r="C19" s="16" t="str">
        <f aca="false">SKOR!C19</f>
        <v>IX G</v>
      </c>
      <c r="D19" s="30" t="n">
        <f aca="false">SKOR!AS19</f>
        <v>13</v>
      </c>
      <c r="E19" s="16" t="n">
        <f aca="false">IF(D19="","",K_SOAL-D19)</f>
        <v>27</v>
      </c>
      <c r="F19" s="31" t="n">
        <f aca="false">SKOR!AT19</f>
        <v>32.5</v>
      </c>
      <c r="G19" s="16" t="str">
        <f aca="false">SKOR!AU19</f>
        <v>Belum tuntas</v>
      </c>
      <c r="H19" s="30" t="n">
        <f aca="false">SKOR!AX19</f>
        <v>31</v>
      </c>
      <c r="I19" s="16" t="str">
        <f aca="false">SKOR!AY19</f>
        <v>Bawah</v>
      </c>
    </row>
    <row r="20" customFormat="false" ht="15" hidden="false" customHeight="true" outlineLevel="0" collapsed="false">
      <c r="A20" s="16" t="n">
        <f aca="false">IF(SKOR!B20="","",SKOR!A20)</f>
        <v>15</v>
      </c>
      <c r="B20" s="20" t="str">
        <f aca="false">SKOR!B20</f>
        <v>SISWA 15</v>
      </c>
      <c r="C20" s="16" t="str">
        <f aca="false">SKOR!C20</f>
        <v>IX G</v>
      </c>
      <c r="D20" s="30" t="n">
        <f aca="false">SKOR!AS20</f>
        <v>23</v>
      </c>
      <c r="E20" s="16" t="n">
        <f aca="false">IF(D20="","",K_SOAL-D20)</f>
        <v>17</v>
      </c>
      <c r="F20" s="31" t="n">
        <f aca="false">SKOR!AT20</f>
        <v>57.5</v>
      </c>
      <c r="G20" s="16" t="str">
        <f aca="false">SKOR!AU20</f>
        <v>Belum tuntas</v>
      </c>
      <c r="H20" s="30" t="n">
        <f aca="false">SKOR!AX20</f>
        <v>16</v>
      </c>
      <c r="I20" s="16" t="str">
        <f aca="false">SKOR!AY20</f>
        <v>Tengah</v>
      </c>
    </row>
    <row r="21" customFormat="false" ht="15" hidden="false" customHeight="true" outlineLevel="0" collapsed="false">
      <c r="A21" s="16" t="n">
        <f aca="false">IF(SKOR!B21="","",SKOR!A21)</f>
        <v>16</v>
      </c>
      <c r="B21" s="20" t="str">
        <f aca="false">SKOR!B21</f>
        <v>SISWA 16</v>
      </c>
      <c r="C21" s="16" t="str">
        <f aca="false">SKOR!C21</f>
        <v>IX G</v>
      </c>
      <c r="D21" s="30" t="n">
        <f aca="false">SKOR!AS21</f>
        <v>29</v>
      </c>
      <c r="E21" s="16" t="n">
        <f aca="false">IF(D21="","",K_SOAL-D21)</f>
        <v>11</v>
      </c>
      <c r="F21" s="31" t="n">
        <f aca="false">SKOR!AT21</f>
        <v>72.5</v>
      </c>
      <c r="G21" s="16" t="str">
        <f aca="false">SKOR!AU21</f>
        <v>Belum tuntas</v>
      </c>
      <c r="H21" s="30" t="n">
        <f aca="false">SKOR!AX21</f>
        <v>7</v>
      </c>
      <c r="I21" s="16" t="str">
        <f aca="false">SKOR!AY21</f>
        <v>Tengah</v>
      </c>
    </row>
    <row r="22" customFormat="false" ht="15" hidden="false" customHeight="true" outlineLevel="0" collapsed="false">
      <c r="A22" s="16" t="n">
        <f aca="false">IF(SKOR!B22="","",SKOR!A22)</f>
        <v>17</v>
      </c>
      <c r="B22" s="20" t="str">
        <f aca="false">SKOR!B22</f>
        <v>SISWA 17</v>
      </c>
      <c r="C22" s="16" t="str">
        <f aca="false">SKOR!C22</f>
        <v>IX G</v>
      </c>
      <c r="D22" s="30" t="n">
        <f aca="false">SKOR!AS22</f>
        <v>31</v>
      </c>
      <c r="E22" s="16" t="n">
        <f aca="false">IF(D22="","",K_SOAL-D22)</f>
        <v>9</v>
      </c>
      <c r="F22" s="31" t="n">
        <f aca="false">SKOR!AT22</f>
        <v>77.5</v>
      </c>
      <c r="G22" s="16" t="str">
        <f aca="false">SKOR!AU22</f>
        <v>Tuntas</v>
      </c>
      <c r="H22" s="30" t="n">
        <f aca="false">SKOR!AX22</f>
        <v>4</v>
      </c>
      <c r="I22" s="16" t="str">
        <f aca="false">SKOR!AY22</f>
        <v>Atas</v>
      </c>
    </row>
    <row r="23" customFormat="false" ht="15" hidden="false" customHeight="true" outlineLevel="0" collapsed="false">
      <c r="A23" s="16" t="n">
        <f aca="false">IF(SKOR!B23="","",SKOR!A23)</f>
        <v>18</v>
      </c>
      <c r="B23" s="20" t="str">
        <f aca="false">SKOR!B23</f>
        <v>SISWA 18</v>
      </c>
      <c r="C23" s="16" t="str">
        <f aca="false">SKOR!C23</f>
        <v>IX G</v>
      </c>
      <c r="D23" s="30" t="n">
        <f aca="false">SKOR!AS23</f>
        <v>31</v>
      </c>
      <c r="E23" s="16" t="n">
        <f aca="false">IF(D23="","",K_SOAL-D23)</f>
        <v>9</v>
      </c>
      <c r="F23" s="31" t="n">
        <f aca="false">SKOR!AT23</f>
        <v>77.5</v>
      </c>
      <c r="G23" s="16" t="str">
        <f aca="false">SKOR!AU23</f>
        <v>Tuntas</v>
      </c>
      <c r="H23" s="30" t="n">
        <f aca="false">SKOR!AX23</f>
        <v>4</v>
      </c>
      <c r="I23" s="16" t="str">
        <f aca="false">SKOR!AY23</f>
        <v>Atas</v>
      </c>
    </row>
    <row r="24" customFormat="false" ht="15" hidden="false" customHeight="true" outlineLevel="0" collapsed="false">
      <c r="A24" s="16" t="n">
        <f aca="false">IF(SKOR!B24="","",SKOR!A24)</f>
        <v>19</v>
      </c>
      <c r="B24" s="20" t="str">
        <f aca="false">SKOR!B24</f>
        <v>SISWA 19</v>
      </c>
      <c r="C24" s="16" t="str">
        <f aca="false">SKOR!C24</f>
        <v>IX G</v>
      </c>
      <c r="D24" s="30" t="n">
        <f aca="false">SKOR!AS24</f>
        <v>21</v>
      </c>
      <c r="E24" s="16" t="n">
        <f aca="false">IF(D24="","",K_SOAL-D24)</f>
        <v>19</v>
      </c>
      <c r="F24" s="31" t="n">
        <f aca="false">SKOR!AT24</f>
        <v>52.5</v>
      </c>
      <c r="G24" s="16" t="str">
        <f aca="false">SKOR!AU24</f>
        <v>Belum tuntas</v>
      </c>
      <c r="H24" s="30" t="n">
        <f aca="false">SKOR!AX24</f>
        <v>20</v>
      </c>
      <c r="I24" s="16" t="str">
        <f aca="false">SKOR!AY24</f>
        <v>Tengah</v>
      </c>
    </row>
    <row r="25" customFormat="false" ht="15" hidden="false" customHeight="true" outlineLevel="0" collapsed="false">
      <c r="A25" s="16" t="n">
        <f aca="false">IF(SKOR!B25="","",SKOR!A25)</f>
        <v>20</v>
      </c>
      <c r="B25" s="20" t="str">
        <f aca="false">SKOR!B25</f>
        <v>SISWA 20</v>
      </c>
      <c r="C25" s="16" t="str">
        <f aca="false">SKOR!C25</f>
        <v>IX G</v>
      </c>
      <c r="D25" s="30" t="n">
        <f aca="false">SKOR!AS25</f>
        <v>31</v>
      </c>
      <c r="E25" s="16" t="n">
        <f aca="false">IF(D25="","",K_SOAL-D25)</f>
        <v>9</v>
      </c>
      <c r="F25" s="31" t="n">
        <f aca="false">SKOR!AT25</f>
        <v>77.5</v>
      </c>
      <c r="G25" s="16" t="str">
        <f aca="false">SKOR!AU25</f>
        <v>Tuntas</v>
      </c>
      <c r="H25" s="30" t="n">
        <f aca="false">SKOR!AX25</f>
        <v>4</v>
      </c>
      <c r="I25" s="16" t="str">
        <f aca="false">SKOR!AY25</f>
        <v>Atas</v>
      </c>
    </row>
    <row r="26" customFormat="false" ht="15" hidden="false" customHeight="true" outlineLevel="0" collapsed="false">
      <c r="A26" s="16" t="n">
        <f aca="false">IF(SKOR!B26="","",SKOR!A26)</f>
        <v>21</v>
      </c>
      <c r="B26" s="20" t="str">
        <f aca="false">SKOR!B26</f>
        <v>SISWA 21</v>
      </c>
      <c r="C26" s="16" t="str">
        <f aca="false">SKOR!C26</f>
        <v>IX G</v>
      </c>
      <c r="D26" s="30" t="n">
        <f aca="false">SKOR!AS26</f>
        <v>28</v>
      </c>
      <c r="E26" s="16" t="n">
        <f aca="false">IF(D26="","",K_SOAL-D26)</f>
        <v>12</v>
      </c>
      <c r="F26" s="31" t="n">
        <f aca="false">SKOR!AT26</f>
        <v>70</v>
      </c>
      <c r="G26" s="16" t="str">
        <f aca="false">SKOR!AU26</f>
        <v>Belum tuntas</v>
      </c>
      <c r="H26" s="30" t="n">
        <f aca="false">SKOR!AX26</f>
        <v>11</v>
      </c>
      <c r="I26" s="16" t="str">
        <f aca="false">SKOR!AY26</f>
        <v>Tengah</v>
      </c>
    </row>
    <row r="27" customFormat="false" ht="15" hidden="false" customHeight="true" outlineLevel="0" collapsed="false">
      <c r="A27" s="16" t="n">
        <f aca="false">IF(SKOR!B27="","",SKOR!A27)</f>
        <v>22</v>
      </c>
      <c r="B27" s="20" t="str">
        <f aca="false">SKOR!B27</f>
        <v>SISWA 22</v>
      </c>
      <c r="C27" s="16" t="str">
        <f aca="false">SKOR!C27</f>
        <v>IX G</v>
      </c>
      <c r="D27" s="30" t="n">
        <f aca="false">SKOR!AS27</f>
        <v>24</v>
      </c>
      <c r="E27" s="16" t="n">
        <f aca="false">IF(D27="","",K_SOAL-D27)</f>
        <v>16</v>
      </c>
      <c r="F27" s="31" t="n">
        <f aca="false">SKOR!AT27</f>
        <v>60</v>
      </c>
      <c r="G27" s="16" t="str">
        <f aca="false">SKOR!AU27</f>
        <v>Belum tuntas</v>
      </c>
      <c r="H27" s="30" t="n">
        <f aca="false">SKOR!AX27</f>
        <v>14</v>
      </c>
      <c r="I27" s="16" t="str">
        <f aca="false">SKOR!AY27</f>
        <v>Tengah</v>
      </c>
    </row>
    <row r="28" customFormat="false" ht="15" hidden="false" customHeight="true" outlineLevel="0" collapsed="false">
      <c r="A28" s="16" t="n">
        <f aca="false">IF(SKOR!B28="","",SKOR!A28)</f>
        <v>23</v>
      </c>
      <c r="B28" s="20" t="str">
        <f aca="false">SKOR!B28</f>
        <v>SISWA 23</v>
      </c>
      <c r="C28" s="16" t="str">
        <f aca="false">SKOR!C28</f>
        <v>IX G</v>
      </c>
      <c r="D28" s="30" t="n">
        <f aca="false">SKOR!AS28</f>
        <v>25</v>
      </c>
      <c r="E28" s="16" t="n">
        <f aca="false">IF(D28="","",K_SOAL-D28)</f>
        <v>15</v>
      </c>
      <c r="F28" s="31" t="n">
        <f aca="false">SKOR!AT28</f>
        <v>62.5</v>
      </c>
      <c r="G28" s="16" t="str">
        <f aca="false">SKOR!AU28</f>
        <v>Belum tuntas</v>
      </c>
      <c r="H28" s="30" t="n">
        <f aca="false">SKOR!AX28</f>
        <v>13</v>
      </c>
      <c r="I28" s="16" t="str">
        <f aca="false">SKOR!AY28</f>
        <v>Tengah</v>
      </c>
    </row>
    <row r="29" customFormat="false" ht="15" hidden="false" customHeight="true" outlineLevel="0" collapsed="false">
      <c r="A29" s="16" t="n">
        <f aca="false">IF(SKOR!B29="","",SKOR!A29)</f>
        <v>24</v>
      </c>
      <c r="B29" s="20" t="str">
        <f aca="false">SKOR!B29</f>
        <v>SISWA 24</v>
      </c>
      <c r="C29" s="16" t="str">
        <f aca="false">SKOR!C29</f>
        <v>IX G</v>
      </c>
      <c r="D29" s="30" t="n">
        <f aca="false">SKOR!AS29</f>
        <v>17</v>
      </c>
      <c r="E29" s="16" t="n">
        <f aca="false">IF(D29="","",K_SOAL-D29)</f>
        <v>23</v>
      </c>
      <c r="F29" s="31" t="n">
        <f aca="false">SKOR!AT29</f>
        <v>42.5</v>
      </c>
      <c r="G29" s="16" t="str">
        <f aca="false">SKOR!AU29</f>
        <v>Belum tuntas</v>
      </c>
      <c r="H29" s="30" t="n">
        <f aca="false">SKOR!AX29</f>
        <v>27</v>
      </c>
      <c r="I29" s="16" t="str">
        <f aca="false">SKOR!AY29</f>
        <v>Bawah</v>
      </c>
    </row>
    <row r="30" customFormat="false" ht="15" hidden="false" customHeight="true" outlineLevel="0" collapsed="false">
      <c r="A30" s="16" t="n">
        <f aca="false">IF(SKOR!B30="","",SKOR!A30)</f>
        <v>25</v>
      </c>
      <c r="B30" s="20" t="str">
        <f aca="false">SKOR!B30</f>
        <v>SISWA 25</v>
      </c>
      <c r="C30" s="16" t="str">
        <f aca="false">SKOR!C30</f>
        <v>IX G</v>
      </c>
      <c r="D30" s="30" t="n">
        <f aca="false">SKOR!AS30</f>
        <v>29</v>
      </c>
      <c r="E30" s="16" t="n">
        <f aca="false">IF(D30="","",K_SOAL-D30)</f>
        <v>11</v>
      </c>
      <c r="F30" s="31" t="n">
        <f aca="false">SKOR!AT30</f>
        <v>72.5</v>
      </c>
      <c r="G30" s="16" t="str">
        <f aca="false">SKOR!AU30</f>
        <v>Belum tuntas</v>
      </c>
      <c r="H30" s="30" t="n">
        <f aca="false">SKOR!AX30</f>
        <v>7</v>
      </c>
      <c r="I30" s="16" t="str">
        <f aca="false">SKOR!AY30</f>
        <v>Tengah</v>
      </c>
    </row>
    <row r="31" customFormat="false" ht="15" hidden="false" customHeight="true" outlineLevel="0" collapsed="false">
      <c r="A31" s="16" t="n">
        <f aca="false">IF(SKOR!B31="","",SKOR!A31)</f>
        <v>26</v>
      </c>
      <c r="B31" s="20" t="str">
        <f aca="false">SKOR!B31</f>
        <v>SISWA 26</v>
      </c>
      <c r="C31" s="16" t="str">
        <f aca="false">SKOR!C31</f>
        <v>IX G</v>
      </c>
      <c r="D31" s="30" t="n">
        <f aca="false">SKOR!AS31</f>
        <v>16</v>
      </c>
      <c r="E31" s="16" t="n">
        <f aca="false">IF(D31="","",K_SOAL-D31)</f>
        <v>24</v>
      </c>
      <c r="F31" s="31" t="n">
        <f aca="false">SKOR!AT31</f>
        <v>40</v>
      </c>
      <c r="G31" s="16" t="str">
        <f aca="false">SKOR!AU31</f>
        <v>Belum tuntas</v>
      </c>
      <c r="H31" s="30" t="n">
        <f aca="false">SKOR!AX31</f>
        <v>29</v>
      </c>
      <c r="I31" s="16" t="str">
        <f aca="false">SKOR!AY31</f>
        <v>Bawah</v>
      </c>
    </row>
    <row r="32" customFormat="false" ht="15" hidden="false" customHeight="true" outlineLevel="0" collapsed="false">
      <c r="A32" s="16" t="n">
        <f aca="false">IF(SKOR!B32="","",SKOR!A32)</f>
        <v>27</v>
      </c>
      <c r="B32" s="20" t="str">
        <f aca="false">SKOR!B32</f>
        <v>SISWA 28</v>
      </c>
      <c r="C32" s="16" t="str">
        <f aca="false">SKOR!C32</f>
        <v>IX G</v>
      </c>
      <c r="D32" s="30" t="n">
        <f aca="false">SKOR!AS32</f>
        <v>24</v>
      </c>
      <c r="E32" s="16" t="n">
        <f aca="false">IF(D32="","",K_SOAL-D32)</f>
        <v>16</v>
      </c>
      <c r="F32" s="31" t="n">
        <f aca="false">SKOR!AT32</f>
        <v>60</v>
      </c>
      <c r="G32" s="16" t="str">
        <f aca="false">SKOR!AU32</f>
        <v>Belum tuntas</v>
      </c>
      <c r="H32" s="30" t="n">
        <f aca="false">SKOR!AX32</f>
        <v>14</v>
      </c>
      <c r="I32" s="16" t="str">
        <f aca="false">SKOR!AY32</f>
        <v>Tengah</v>
      </c>
    </row>
    <row r="33" customFormat="false" ht="15" hidden="false" customHeight="true" outlineLevel="0" collapsed="false">
      <c r="A33" s="16" t="n">
        <f aca="false">IF(SKOR!B33="","",SKOR!A33)</f>
        <v>28</v>
      </c>
      <c r="B33" s="20" t="str">
        <f aca="false">SKOR!B33</f>
        <v>SISWA 29</v>
      </c>
      <c r="C33" s="16" t="str">
        <f aca="false">SKOR!C33</f>
        <v>IX G</v>
      </c>
      <c r="D33" s="30" t="n">
        <f aca="false">SKOR!AS33</f>
        <v>26</v>
      </c>
      <c r="E33" s="16" t="n">
        <f aca="false">IF(D33="","",K_SOAL-D33)</f>
        <v>14</v>
      </c>
      <c r="F33" s="31" t="n">
        <f aca="false">SKOR!AT33</f>
        <v>65</v>
      </c>
      <c r="G33" s="16" t="str">
        <f aca="false">SKOR!AU33</f>
        <v>Belum tuntas</v>
      </c>
      <c r="H33" s="30" t="n">
        <f aca="false">SKOR!AX33</f>
        <v>12</v>
      </c>
      <c r="I33" s="16" t="str">
        <f aca="false">SKOR!AY33</f>
        <v>Tengah</v>
      </c>
    </row>
    <row r="34" customFormat="false" ht="15" hidden="false" customHeight="true" outlineLevel="0" collapsed="false">
      <c r="A34" s="16" t="n">
        <f aca="false">IF(SKOR!B34="","",SKOR!A34)</f>
        <v>29</v>
      </c>
      <c r="B34" s="20" t="str">
        <f aca="false">SKOR!B34</f>
        <v>SISWA 30</v>
      </c>
      <c r="C34" s="16" t="str">
        <f aca="false">SKOR!C34</f>
        <v>IX G</v>
      </c>
      <c r="D34" s="30" t="n">
        <f aca="false">SKOR!AS34</f>
        <v>22</v>
      </c>
      <c r="E34" s="16" t="n">
        <f aca="false">IF(D34="","",K_SOAL-D34)</f>
        <v>18</v>
      </c>
      <c r="F34" s="31" t="n">
        <f aca="false">SKOR!AT34</f>
        <v>55</v>
      </c>
      <c r="G34" s="16" t="str">
        <f aca="false">SKOR!AU34</f>
        <v>Belum tuntas</v>
      </c>
      <c r="H34" s="30" t="n">
        <f aca="false">SKOR!AX34</f>
        <v>19</v>
      </c>
      <c r="I34" s="16" t="str">
        <f aca="false">SKOR!AY34</f>
        <v>Tengah</v>
      </c>
    </row>
    <row r="35" customFormat="false" ht="15" hidden="false" customHeight="true" outlineLevel="0" collapsed="false">
      <c r="A35" s="16" t="n">
        <f aca="false">IF(SKOR!B35="","",SKOR!A35)</f>
        <v>30</v>
      </c>
      <c r="B35" s="20" t="str">
        <f aca="false">SKOR!B35</f>
        <v>SISWA 31</v>
      </c>
      <c r="C35" s="16" t="str">
        <f aca="false">SKOR!C35</f>
        <v>IX G</v>
      </c>
      <c r="D35" s="30" t="n">
        <f aca="false">SKOR!AS35</f>
        <v>19</v>
      </c>
      <c r="E35" s="16" t="n">
        <f aca="false">IF(D35="","",K_SOAL-D35)</f>
        <v>21</v>
      </c>
      <c r="F35" s="31" t="n">
        <f aca="false">SKOR!AT35</f>
        <v>47.5</v>
      </c>
      <c r="G35" s="16" t="str">
        <f aca="false">SKOR!AU35</f>
        <v>Belum tuntas</v>
      </c>
      <c r="H35" s="30" t="n">
        <f aca="false">SKOR!AX35</f>
        <v>24</v>
      </c>
      <c r="I35" s="16" t="str">
        <f aca="false">SKOR!AY35</f>
        <v>Bawah</v>
      </c>
    </row>
    <row r="36" customFormat="false" ht="15" hidden="false" customHeight="true" outlineLevel="0" collapsed="false">
      <c r="A36" s="16" t="n">
        <f aca="false">IF(SKOR!B36="","",SKOR!A36)</f>
        <v>31</v>
      </c>
      <c r="B36" s="20" t="str">
        <f aca="false">SKOR!B36</f>
        <v>SISWA 32</v>
      </c>
      <c r="C36" s="16" t="str">
        <f aca="false">SKOR!C36</f>
        <v/>
      </c>
      <c r="D36" s="30" t="n">
        <f aca="false">SKOR!AS36</f>
        <v>20</v>
      </c>
      <c r="E36" s="16" t="n">
        <f aca="false">IF(D36="","",K_SOAL-D36)</f>
        <v>20</v>
      </c>
      <c r="F36" s="31" t="n">
        <f aca="false">SKOR!AT36</f>
        <v>50</v>
      </c>
      <c r="G36" s="16" t="str">
        <f aca="false">SKOR!AU36</f>
        <v>Belum tuntas</v>
      </c>
      <c r="H36" s="30" t="n">
        <f aca="false">SKOR!AX36</f>
        <v>21</v>
      </c>
      <c r="I36" s="16" t="str">
        <f aca="false">SKOR!AY36</f>
        <v>Tengah</v>
      </c>
    </row>
    <row r="37" customFormat="false" ht="15" hidden="false" customHeight="true" outlineLevel="0" collapsed="false">
      <c r="A37" s="16" t="str">
        <f aca="false">IF(SKOR!B37="","",SKOR!A37)</f>
        <v/>
      </c>
      <c r="B37" s="20" t="str">
        <f aca="false">SKOR!B37</f>
        <v/>
      </c>
      <c r="C37" s="16" t="str">
        <f aca="false">SKOR!C37</f>
        <v/>
      </c>
      <c r="D37" s="30" t="str">
        <f aca="false">SKOR!AS37</f>
        <v/>
      </c>
      <c r="E37" s="16" t="str">
        <f aca="false">IF(D37="","",K_SOAL-D37)</f>
        <v/>
      </c>
      <c r="F37" s="31" t="str">
        <f aca="false">SKOR!AT37</f>
        <v/>
      </c>
      <c r="G37" s="16" t="str">
        <f aca="false">SKOR!AU37</f>
        <v/>
      </c>
      <c r="H37" s="30" t="str">
        <f aca="false">SKOR!AX37</f>
        <v/>
      </c>
      <c r="I37" s="16" t="str">
        <f aca="false">SKOR!AY37</f>
        <v/>
      </c>
    </row>
    <row r="38" customFormat="false" ht="15" hidden="false" customHeight="true" outlineLevel="0" collapsed="false">
      <c r="A38" s="16" t="str">
        <f aca="false">IF(SKOR!B38="","",SKOR!A38)</f>
        <v/>
      </c>
      <c r="B38" s="20" t="str">
        <f aca="false">SKOR!B38</f>
        <v/>
      </c>
      <c r="C38" s="16" t="str">
        <f aca="false">SKOR!C38</f>
        <v/>
      </c>
      <c r="D38" s="16" t="str">
        <f aca="false">SKOR!AS38</f>
        <v/>
      </c>
      <c r="E38" s="16" t="str">
        <f aca="false">IF(D38="","",K_SOAL-D38)</f>
        <v/>
      </c>
      <c r="F38" s="31" t="str">
        <f aca="false">SKOR!AT38</f>
        <v/>
      </c>
      <c r="G38" s="16" t="str">
        <f aca="false">SKOR!AU38</f>
        <v/>
      </c>
      <c r="H38" s="16" t="str">
        <f aca="false">SKOR!AX38</f>
        <v/>
      </c>
      <c r="I38" s="16" t="str">
        <f aca="false">SKOR!AY38</f>
        <v/>
      </c>
    </row>
    <row r="39" customFormat="false" ht="15" hidden="false" customHeight="true" outlineLevel="0" collapsed="false">
      <c r="A39" s="16" t="str">
        <f aca="false">IF(SKOR!B39="","",SKOR!A39)</f>
        <v/>
      </c>
      <c r="B39" s="20" t="str">
        <f aca="false">SKOR!B39</f>
        <v/>
      </c>
      <c r="C39" s="16" t="str">
        <f aca="false">SKOR!C39</f>
        <v/>
      </c>
      <c r="D39" s="16" t="str">
        <f aca="false">SKOR!AS39</f>
        <v/>
      </c>
      <c r="E39" s="16" t="str">
        <f aca="false">IF(D39="","",K_SOAL-D39)</f>
        <v/>
      </c>
      <c r="F39" s="31" t="str">
        <f aca="false">SKOR!AT39</f>
        <v/>
      </c>
      <c r="G39" s="16" t="str">
        <f aca="false">SKOR!AU39</f>
        <v/>
      </c>
      <c r="H39" s="16" t="str">
        <f aca="false">SKOR!AX39</f>
        <v/>
      </c>
      <c r="I39" s="16" t="str">
        <f aca="false">SKOR!AY39</f>
        <v/>
      </c>
    </row>
    <row r="40" customFormat="false" ht="15" hidden="false" customHeight="true" outlineLevel="0" collapsed="false">
      <c r="A40" s="16" t="str">
        <f aca="false">IF(SKOR!B40="","",SKOR!A40)</f>
        <v/>
      </c>
      <c r="B40" s="20" t="str">
        <f aca="false">SKOR!B40</f>
        <v/>
      </c>
      <c r="C40" s="16" t="str">
        <f aca="false">SKOR!C40</f>
        <v/>
      </c>
      <c r="D40" s="16" t="str">
        <f aca="false">SKOR!AS40</f>
        <v/>
      </c>
      <c r="E40" s="16" t="str">
        <f aca="false">IF(D40="","",K_SOAL-D40)</f>
        <v/>
      </c>
      <c r="F40" s="31" t="str">
        <f aca="false">SKOR!AT40</f>
        <v/>
      </c>
      <c r="G40" s="16" t="str">
        <f aca="false">SKOR!AU40</f>
        <v/>
      </c>
      <c r="H40" s="16" t="str">
        <f aca="false">SKOR!AX40</f>
        <v/>
      </c>
      <c r="I40" s="16" t="str">
        <f aca="false">SKOR!AY40</f>
        <v/>
      </c>
    </row>
    <row r="41" customFormat="false" ht="15" hidden="false" customHeight="true" outlineLevel="0" collapsed="false">
      <c r="A41" s="16" t="str">
        <f aca="false">IF(SKOR!B41="","",SKOR!A41)</f>
        <v/>
      </c>
      <c r="B41" s="20" t="str">
        <f aca="false">SKOR!B41</f>
        <v/>
      </c>
      <c r="C41" s="16" t="str">
        <f aca="false">SKOR!C41</f>
        <v/>
      </c>
      <c r="D41" s="16" t="str">
        <f aca="false">SKOR!AS41</f>
        <v/>
      </c>
      <c r="E41" s="16" t="str">
        <f aca="false">IF(D41="","",K_SOAL-D41)</f>
        <v/>
      </c>
      <c r="F41" s="31" t="str">
        <f aca="false">SKOR!AT41</f>
        <v/>
      </c>
      <c r="G41" s="16" t="str">
        <f aca="false">SKOR!AU41</f>
        <v/>
      </c>
      <c r="H41" s="16" t="str">
        <f aca="false">SKOR!AX41</f>
        <v/>
      </c>
      <c r="I41" s="16" t="str">
        <f aca="false">SKOR!AY41</f>
        <v/>
      </c>
    </row>
    <row r="42" customFormat="false" ht="15" hidden="false" customHeight="true" outlineLevel="0" collapsed="false">
      <c r="A42" s="16" t="str">
        <f aca="false">IF(SKOR!B42="","",SKOR!A42)</f>
        <v/>
      </c>
      <c r="B42" s="20" t="str">
        <f aca="false">SKOR!B42</f>
        <v/>
      </c>
      <c r="C42" s="16" t="str">
        <f aca="false">SKOR!C42</f>
        <v/>
      </c>
      <c r="D42" s="16" t="str">
        <f aca="false">SKOR!AS42</f>
        <v/>
      </c>
      <c r="E42" s="16" t="str">
        <f aca="false">IF(D42="","",K_SOAL-D42)</f>
        <v/>
      </c>
      <c r="F42" s="31" t="str">
        <f aca="false">SKOR!AT42</f>
        <v/>
      </c>
      <c r="G42" s="16" t="str">
        <f aca="false">SKOR!AU42</f>
        <v/>
      </c>
      <c r="H42" s="16" t="str">
        <f aca="false">SKOR!AX42</f>
        <v/>
      </c>
      <c r="I42" s="16" t="str">
        <f aca="false">SKOR!AY42</f>
        <v/>
      </c>
    </row>
    <row r="43" customFormat="false" ht="15" hidden="false" customHeight="true" outlineLevel="0" collapsed="false">
      <c r="A43" s="16" t="str">
        <f aca="false">IF(SKOR!B43="","",SKOR!A43)</f>
        <v/>
      </c>
      <c r="B43" s="20" t="str">
        <f aca="false">SKOR!B43</f>
        <v/>
      </c>
      <c r="C43" s="16" t="str">
        <f aca="false">SKOR!C43</f>
        <v/>
      </c>
      <c r="D43" s="16" t="str">
        <f aca="false">SKOR!AS43</f>
        <v/>
      </c>
      <c r="E43" s="16" t="str">
        <f aca="false">IF(D43="","",K_SOAL-D43)</f>
        <v/>
      </c>
      <c r="F43" s="31" t="str">
        <f aca="false">SKOR!AT43</f>
        <v/>
      </c>
      <c r="G43" s="16" t="str">
        <f aca="false">SKOR!AU43</f>
        <v/>
      </c>
      <c r="H43" s="16" t="str">
        <f aca="false">SKOR!AX43</f>
        <v/>
      </c>
      <c r="I43" s="16" t="str">
        <f aca="false">SKOR!AY43</f>
        <v/>
      </c>
    </row>
    <row r="44" customFormat="false" ht="15" hidden="false" customHeight="true" outlineLevel="0" collapsed="false">
      <c r="A44" s="16" t="str">
        <f aca="false">IF(SKOR!B44="","",SKOR!A44)</f>
        <v/>
      </c>
      <c r="B44" s="20" t="str">
        <f aca="false">SKOR!B44</f>
        <v/>
      </c>
      <c r="C44" s="16" t="str">
        <f aca="false">SKOR!C44</f>
        <v/>
      </c>
      <c r="D44" s="16" t="str">
        <f aca="false">SKOR!AS44</f>
        <v/>
      </c>
      <c r="E44" s="16" t="str">
        <f aca="false">IF(D44="","",K_SOAL-D44)</f>
        <v/>
      </c>
      <c r="F44" s="31" t="str">
        <f aca="false">SKOR!AT44</f>
        <v/>
      </c>
      <c r="G44" s="16" t="str">
        <f aca="false">SKOR!AU44</f>
        <v/>
      </c>
      <c r="H44" s="16" t="str">
        <f aca="false">SKOR!AX44</f>
        <v/>
      </c>
      <c r="I44" s="16" t="str">
        <f aca="false">SKOR!AY44</f>
        <v/>
      </c>
    </row>
    <row r="45" customFormat="false" ht="15" hidden="false" customHeight="true" outlineLevel="0" collapsed="false">
      <c r="A45" s="16" t="str">
        <f aca="false">IF(SKOR!B45="","",SKOR!A45)</f>
        <v/>
      </c>
      <c r="B45" s="20" t="str">
        <f aca="false">SKOR!B45</f>
        <v/>
      </c>
      <c r="C45" s="16" t="str">
        <f aca="false">SKOR!C45</f>
        <v/>
      </c>
      <c r="D45" s="16" t="str">
        <f aca="false">SKOR!AS45</f>
        <v/>
      </c>
      <c r="E45" s="16" t="str">
        <f aca="false">IF(D45="","",K_SOAL-D45)</f>
        <v/>
      </c>
      <c r="F45" s="31" t="str">
        <f aca="false">SKOR!AT45</f>
        <v/>
      </c>
      <c r="G45" s="16" t="str">
        <f aca="false">SKOR!AU45</f>
        <v/>
      </c>
      <c r="H45" s="16" t="str">
        <f aca="false">SKOR!AX45</f>
        <v/>
      </c>
      <c r="I45" s="16" t="str">
        <f aca="false">SKOR!AY45</f>
        <v/>
      </c>
    </row>
    <row r="46" customFormat="false" ht="15" hidden="false" customHeight="true" outlineLevel="0" collapsed="false">
      <c r="A46" s="16" t="str">
        <f aca="false">IF(SKOR!B46="","",SKOR!A46)</f>
        <v/>
      </c>
      <c r="B46" s="20" t="str">
        <f aca="false">SKOR!B46</f>
        <v/>
      </c>
      <c r="C46" s="16" t="str">
        <f aca="false">SKOR!C46</f>
        <v/>
      </c>
      <c r="D46" s="16" t="str">
        <f aca="false">SKOR!AS46</f>
        <v/>
      </c>
      <c r="E46" s="16" t="str">
        <f aca="false">IF(D46="","",K_SOAL-D46)</f>
        <v/>
      </c>
      <c r="F46" s="31" t="str">
        <f aca="false">SKOR!AT46</f>
        <v/>
      </c>
      <c r="G46" s="16" t="str">
        <f aca="false">SKOR!AU46</f>
        <v/>
      </c>
      <c r="H46" s="16" t="str">
        <f aca="false">SKOR!AX46</f>
        <v/>
      </c>
      <c r="I46" s="16" t="str">
        <f aca="false">SKOR!AY46</f>
        <v/>
      </c>
    </row>
    <row r="47" customFormat="false" ht="15" hidden="false" customHeight="true" outlineLevel="0" collapsed="false">
      <c r="A47" s="16" t="str">
        <f aca="false">IF(SKOR!B47="","",SKOR!A47)</f>
        <v/>
      </c>
      <c r="B47" s="20" t="str">
        <f aca="false">SKOR!B47</f>
        <v/>
      </c>
      <c r="C47" s="16" t="str">
        <f aca="false">SKOR!C47</f>
        <v/>
      </c>
      <c r="D47" s="16" t="str">
        <f aca="false">SKOR!AS47</f>
        <v/>
      </c>
      <c r="E47" s="16" t="str">
        <f aca="false">IF(D47="","",K_SOAL-D47)</f>
        <v/>
      </c>
      <c r="F47" s="31" t="str">
        <f aca="false">SKOR!AT47</f>
        <v/>
      </c>
      <c r="G47" s="16" t="str">
        <f aca="false">SKOR!AU47</f>
        <v/>
      </c>
      <c r="H47" s="16" t="str">
        <f aca="false">SKOR!AX47</f>
        <v/>
      </c>
      <c r="I47" s="16" t="str">
        <f aca="false">SKOR!AY47</f>
        <v/>
      </c>
    </row>
    <row r="48" customFormat="false" ht="15" hidden="false" customHeight="true" outlineLevel="0" collapsed="false">
      <c r="A48" s="16" t="str">
        <f aca="false">IF(SKOR!B48="","",SKOR!A48)</f>
        <v/>
      </c>
      <c r="B48" s="20" t="str">
        <f aca="false">SKOR!B48</f>
        <v/>
      </c>
      <c r="C48" s="16" t="str">
        <f aca="false">SKOR!C48</f>
        <v/>
      </c>
      <c r="D48" s="16" t="str">
        <f aca="false">SKOR!AS48</f>
        <v/>
      </c>
      <c r="E48" s="16" t="str">
        <f aca="false">IF(D48="","",K_SOAL-D48)</f>
        <v/>
      </c>
      <c r="F48" s="31" t="str">
        <f aca="false">SKOR!AT48</f>
        <v/>
      </c>
      <c r="G48" s="16" t="str">
        <f aca="false">SKOR!AU48</f>
        <v/>
      </c>
      <c r="H48" s="16" t="str">
        <f aca="false">SKOR!AX48</f>
        <v/>
      </c>
      <c r="I48" s="16" t="str">
        <f aca="false">SKOR!AY48</f>
        <v/>
      </c>
    </row>
    <row r="49" customFormat="false" ht="15" hidden="false" customHeight="true" outlineLevel="0" collapsed="false">
      <c r="A49" s="16" t="str">
        <f aca="false">IF(SKOR!B49="","",SKOR!A49)</f>
        <v/>
      </c>
      <c r="B49" s="20" t="str">
        <f aca="false">SKOR!B49</f>
        <v/>
      </c>
      <c r="C49" s="16" t="str">
        <f aca="false">SKOR!C49</f>
        <v/>
      </c>
      <c r="D49" s="16" t="str">
        <f aca="false">SKOR!AS49</f>
        <v/>
      </c>
      <c r="E49" s="16" t="str">
        <f aca="false">IF(D49="","",K_SOAL-D49)</f>
        <v/>
      </c>
      <c r="F49" s="31" t="str">
        <f aca="false">SKOR!AT49</f>
        <v/>
      </c>
      <c r="G49" s="16" t="str">
        <f aca="false">SKOR!AU49</f>
        <v/>
      </c>
      <c r="H49" s="16" t="str">
        <f aca="false">SKOR!AX49</f>
        <v/>
      </c>
      <c r="I49" s="16" t="str">
        <f aca="false">SKOR!AY49</f>
        <v/>
      </c>
    </row>
    <row r="50" customFormat="false" ht="15" hidden="false" customHeight="true" outlineLevel="0" collapsed="false">
      <c r="A50" s="16" t="str">
        <f aca="false">IF(SKOR!B50="","",SKOR!A50)</f>
        <v/>
      </c>
      <c r="B50" s="20" t="str">
        <f aca="false">SKOR!B50</f>
        <v/>
      </c>
      <c r="C50" s="16" t="str">
        <f aca="false">SKOR!C50</f>
        <v/>
      </c>
      <c r="D50" s="16" t="str">
        <f aca="false">SKOR!AS50</f>
        <v/>
      </c>
      <c r="E50" s="16" t="str">
        <f aca="false">IF(D50="","",K_SOAL-D50)</f>
        <v/>
      </c>
      <c r="F50" s="31" t="str">
        <f aca="false">SKOR!AT50</f>
        <v/>
      </c>
      <c r="G50" s="16" t="str">
        <f aca="false">SKOR!AU50</f>
        <v/>
      </c>
      <c r="H50" s="16" t="str">
        <f aca="false">SKOR!AX50</f>
        <v/>
      </c>
      <c r="I50" s="16" t="str">
        <f aca="false">SKOR!AY50</f>
        <v/>
      </c>
    </row>
    <row r="51" customFormat="false" ht="15" hidden="false" customHeight="true" outlineLevel="0" collapsed="false">
      <c r="A51" s="16" t="str">
        <f aca="false">IF(SKOR!B51="","",SKOR!A51)</f>
        <v/>
      </c>
      <c r="B51" s="20" t="str">
        <f aca="false">SKOR!B51</f>
        <v/>
      </c>
      <c r="C51" s="16" t="str">
        <f aca="false">SKOR!C51</f>
        <v/>
      </c>
      <c r="D51" s="16" t="str">
        <f aca="false">SKOR!AS51</f>
        <v/>
      </c>
      <c r="E51" s="16" t="str">
        <f aca="false">IF(D51="","",K_SOAL-D51)</f>
        <v/>
      </c>
      <c r="F51" s="31" t="str">
        <f aca="false">SKOR!AT51</f>
        <v/>
      </c>
      <c r="G51" s="16" t="str">
        <f aca="false">SKOR!AU51</f>
        <v/>
      </c>
      <c r="H51" s="16" t="str">
        <f aca="false">SKOR!AX51</f>
        <v/>
      </c>
      <c r="I51" s="16" t="str">
        <f aca="false">SKOR!AY51</f>
        <v/>
      </c>
    </row>
    <row r="52" customFormat="false" ht="15" hidden="false" customHeight="true" outlineLevel="0" collapsed="false">
      <c r="A52" s="16" t="str">
        <f aca="false">IF(SKOR!B52="","",SKOR!A52)</f>
        <v/>
      </c>
      <c r="B52" s="20" t="str">
        <f aca="false">SKOR!B52</f>
        <v/>
      </c>
      <c r="C52" s="16" t="str">
        <f aca="false">SKOR!C52</f>
        <v/>
      </c>
      <c r="D52" s="16" t="str">
        <f aca="false">SKOR!AS52</f>
        <v/>
      </c>
      <c r="E52" s="16" t="str">
        <f aca="false">IF(D52="","",K_SOAL-D52)</f>
        <v/>
      </c>
      <c r="F52" s="31" t="str">
        <f aca="false">SKOR!AT52</f>
        <v/>
      </c>
      <c r="G52" s="16" t="str">
        <f aca="false">SKOR!AU52</f>
        <v/>
      </c>
      <c r="H52" s="16" t="str">
        <f aca="false">SKOR!AX52</f>
        <v/>
      </c>
      <c r="I52" s="16" t="str">
        <f aca="false">SKOR!AY52</f>
        <v/>
      </c>
    </row>
    <row r="53" customFormat="false" ht="15" hidden="false" customHeight="true" outlineLevel="0" collapsed="false">
      <c r="A53" s="16" t="str">
        <f aca="false">IF(SKOR!B53="","",SKOR!A53)</f>
        <v/>
      </c>
      <c r="B53" s="20" t="str">
        <f aca="false">SKOR!B53</f>
        <v/>
      </c>
      <c r="C53" s="16" t="str">
        <f aca="false">SKOR!C53</f>
        <v/>
      </c>
      <c r="D53" s="16" t="str">
        <f aca="false">SKOR!AS53</f>
        <v/>
      </c>
      <c r="E53" s="16" t="str">
        <f aca="false">IF(D53="","",K_SOAL-D53)</f>
        <v/>
      </c>
      <c r="F53" s="31" t="str">
        <f aca="false">SKOR!AT53</f>
        <v/>
      </c>
      <c r="G53" s="16" t="str">
        <f aca="false">SKOR!AU53</f>
        <v/>
      </c>
      <c r="H53" s="16" t="str">
        <f aca="false">SKOR!AX53</f>
        <v/>
      </c>
      <c r="I53" s="16" t="str">
        <f aca="false">SKOR!AY53</f>
        <v/>
      </c>
    </row>
    <row r="54" customFormat="false" ht="15" hidden="false" customHeight="true" outlineLevel="0" collapsed="false">
      <c r="A54" s="16" t="str">
        <f aca="false">IF(SKOR!B54="","",SKOR!A54)</f>
        <v/>
      </c>
      <c r="B54" s="20" t="str">
        <f aca="false">SKOR!B54</f>
        <v/>
      </c>
      <c r="C54" s="16" t="str">
        <f aca="false">SKOR!C54</f>
        <v/>
      </c>
      <c r="D54" s="16" t="str">
        <f aca="false">SKOR!AS54</f>
        <v/>
      </c>
      <c r="E54" s="16" t="str">
        <f aca="false">IF(D54="","",K_SOAL-D54)</f>
        <v/>
      </c>
      <c r="F54" s="31" t="str">
        <f aca="false">SKOR!AT54</f>
        <v/>
      </c>
      <c r="G54" s="16" t="str">
        <f aca="false">SKOR!AU54</f>
        <v/>
      </c>
      <c r="H54" s="16" t="str">
        <f aca="false">SKOR!AX54</f>
        <v/>
      </c>
      <c r="I54" s="16" t="str">
        <f aca="false">SKOR!AY54</f>
        <v/>
      </c>
    </row>
    <row r="55" customFormat="false" ht="15" hidden="false" customHeight="true" outlineLevel="0" collapsed="false">
      <c r="A55" s="16" t="str">
        <f aca="false">IF(SKOR!B55="","",SKOR!A55)</f>
        <v/>
      </c>
      <c r="B55" s="20" t="str">
        <f aca="false">SKOR!B55</f>
        <v/>
      </c>
      <c r="C55" s="16" t="str">
        <f aca="false">SKOR!C55</f>
        <v/>
      </c>
      <c r="D55" s="16" t="str">
        <f aca="false">SKOR!AS55</f>
        <v/>
      </c>
      <c r="E55" s="16" t="str">
        <f aca="false">IF(D55="","",K_SOAL-D55)</f>
        <v/>
      </c>
      <c r="F55" s="31" t="str">
        <f aca="false">SKOR!AT55</f>
        <v/>
      </c>
      <c r="G55" s="16" t="str">
        <f aca="false">SKOR!AU55</f>
        <v/>
      </c>
      <c r="H55" s="16" t="str">
        <f aca="false">SKOR!AX55</f>
        <v/>
      </c>
      <c r="I55" s="16" t="str">
        <f aca="false">SKOR!AY55</f>
        <v/>
      </c>
    </row>
  </sheetData>
  <conditionalFormatting sqref="G6:G55">
    <cfRule type="cellIs" priority="2" operator="equal" aboveAverage="0" equalAverage="0" bottom="0" percent="0" rank="0" text="" dxfId="0">
      <formula>"Tuntas"</formula>
    </cfRule>
    <cfRule type="cellIs" priority="3" operator="equal" aboveAverage="0" equalAverage="0" bottom="0" percent="0" rank="0" text="" dxfId="1">
      <formula>"Belum tuntas"</formula>
    </cfRule>
  </conditionalFormatting>
  <printOptions headings="false" gridLines="false" gridLinesSet="true" horizontalCentered="false" verticalCentered="false"/>
  <pageMargins left="0.620138888888889" right="0.129861111111111"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W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328125" defaultRowHeight="14.25" zeroHeight="false" outlineLevelRow="0" outlineLevelCol="0"/>
  <cols>
    <col collapsed="false" customWidth="true" hidden="false" outlineLevel="0" max="1" min="1" style="0" width="5"/>
    <col collapsed="false" customWidth="true" hidden="false" outlineLevel="0" max="2" min="2" style="0" width="7"/>
    <col collapsed="false" customWidth="true" hidden="false" outlineLevel="0" max="3" min="3" style="0" width="9"/>
    <col collapsed="false" customWidth="true" hidden="false" outlineLevel="0" max="4" min="4" style="0" width="8"/>
    <col collapsed="false" customWidth="true" hidden="false" outlineLevel="0" max="6" min="5" style="0" width="11"/>
    <col collapsed="false" customWidth="true" hidden="false" outlineLevel="0" max="9" min="7" style="0" width="10"/>
    <col collapsed="false" customWidth="true" hidden="false" outlineLevel="0" max="10" min="10" style="0" width="13"/>
    <col collapsed="false" customWidth="true" hidden="false" outlineLevel="0" max="11" min="11" style="0" width="15"/>
    <col collapsed="false" customWidth="true" hidden="false" outlineLevel="0" max="12" min="12" style="0" width="10"/>
    <col collapsed="false" customWidth="true" hidden="false" outlineLevel="0" max="13" min="13" style="0" width="9"/>
    <col collapsed="false" customWidth="true" hidden="false" outlineLevel="0" max="14" min="14" style="0" width="11"/>
    <col collapsed="false" customWidth="true" hidden="false" outlineLevel="0" max="15" min="15" style="0" width="8"/>
    <col collapsed="false" customWidth="true" hidden="false" outlineLevel="0" max="16" min="16" style="0" width="12"/>
    <col collapsed="false" customWidth="true" hidden="false" outlineLevel="0" max="17" min="17" style="0" width="16"/>
    <col collapsed="false" customWidth="true" hidden="false" outlineLevel="0" max="18" min="18" style="0" width="46"/>
    <col collapsed="false" customWidth="true" hidden="false" outlineLevel="0" max="19" min="19" style="0" width="28"/>
    <col collapsed="false" customWidth="true" hidden="false" outlineLevel="0" max="22" min="20" style="0" width="9"/>
  </cols>
  <sheetData>
    <row r="1" customFormat="false" ht="17.25" hidden="false" customHeight="true" outlineLevel="0" collapsed="false">
      <c r="A1" s="12" t="s">
        <v>185</v>
      </c>
    </row>
    <row r="2" customFormat="false" ht="15" hidden="false" customHeight="true" outlineLevel="0" collapsed="false">
      <c r="A2" s="13" t="str">
        <f aca="false">UPPER(NAMA_MADRASAH)&amp;" | TAHUN PELAJARAN "&amp;TAHUN_AJAR</f>
        <v>MTSN 3 SUBANG | TAHUN PELAJARAN 2025-2026</v>
      </c>
    </row>
    <row r="3" customFormat="false" ht="15" hidden="false" customHeight="true" outlineLevel="0" collapsed="false">
      <c r="A3" s="14" t="str">
        <f aca="false">MAPEL&amp;" | Kelas "&amp;KELAS&amp;" | Semester "&amp;SEMESTER&amp;" | "&amp;JENIS_TES</f>
        <v>Bahasa Indonesia | Kelas IX G | Semester Ganjil | Penilaian Akhir Semester</v>
      </c>
    </row>
    <row r="5" customFormat="false" ht="57.75" hidden="false" customHeight="true" outlineLevel="0" collapsed="false">
      <c r="A5" s="8" t="s">
        <v>47</v>
      </c>
      <c r="B5" s="8" t="s">
        <v>173</v>
      </c>
      <c r="C5" s="8" t="s">
        <v>186</v>
      </c>
      <c r="D5" s="8" t="s">
        <v>187</v>
      </c>
      <c r="E5" s="8" t="s">
        <v>188</v>
      </c>
      <c r="F5" s="8" t="s">
        <v>189</v>
      </c>
      <c r="G5" s="8" t="s">
        <v>190</v>
      </c>
      <c r="H5" s="8" t="s">
        <v>191</v>
      </c>
      <c r="I5" s="8" t="s">
        <v>192</v>
      </c>
      <c r="J5" s="8" t="s">
        <v>193</v>
      </c>
      <c r="K5" s="8" t="s">
        <v>194</v>
      </c>
      <c r="L5" s="8" t="s">
        <v>195</v>
      </c>
      <c r="M5" s="8" t="s">
        <v>196</v>
      </c>
      <c r="N5" s="8" t="s">
        <v>197</v>
      </c>
      <c r="O5" s="8" t="s">
        <v>198</v>
      </c>
      <c r="P5" s="8" t="s">
        <v>199</v>
      </c>
      <c r="Q5" s="8" t="s">
        <v>36</v>
      </c>
      <c r="R5" s="8" t="s">
        <v>200</v>
      </c>
      <c r="S5" s="8" t="s">
        <v>201</v>
      </c>
      <c r="U5" s="8" t="s">
        <v>202</v>
      </c>
      <c r="V5" s="8" t="s">
        <v>203</v>
      </c>
      <c r="W5" s="8" t="s">
        <v>204</v>
      </c>
    </row>
    <row r="6" customFormat="false" ht="15" hidden="false" customHeight="true" outlineLevel="0" collapsed="false">
      <c r="A6" s="16" t="n">
        <v>1</v>
      </c>
      <c r="B6" s="16" t="str">
        <f aca="false">IF(KUNCI!B6="","",UPPER(KUNCI!B6))</f>
        <v>A</v>
      </c>
      <c r="C6" s="16" t="n">
        <f aca="false">IF($B6="","",SUM(SKOR!$E$6:$E$55))</f>
        <v>17</v>
      </c>
      <c r="D6" s="16" t="n">
        <f aca="false">IF($B6="","",N_SISWA-C6)</f>
        <v>14</v>
      </c>
      <c r="E6" s="31" t="n">
        <f aca="false">IF($B6="","",IFERROR(C6/N_SISWA,""))</f>
        <v>0.548387096774194</v>
      </c>
      <c r="F6" s="16" t="str">
        <f aca="false">IF(E6="","",IF(E6&lt;=BATAS_SUKAR,"Sukar",IF(E6&lt;=BATAS_MUDAH,"Sedang","Mudah")))</f>
        <v>Sedang</v>
      </c>
      <c r="G6" s="16" t="n">
        <f aca="false">IF($B6="","",SUMIFS(SKOR!$E$6:$E$55,SKOR!$AW$6:$AW$55,"&lt;="&amp;N_GRUP))</f>
        <v>4</v>
      </c>
      <c r="H6" s="16" t="n">
        <f aca="false">IF($B6="","",SUMIFS(SKOR!$E$6:$E$55,SKOR!$AW$6:$AW$55,"&gt;"&amp;(N_SISWA-N_GRUP)))</f>
        <v>4</v>
      </c>
      <c r="I6" s="31" t="n">
        <f aca="false">IF($B6="","",IFERROR((G6-H6)/N_GRUP,""))</f>
        <v>0</v>
      </c>
      <c r="J6" s="16" t="str">
        <f aca="false">IF(I6="","",IF(I6&lt;0,"Sangat jelek",IF(I6&lt;=DP_B1,"Jelek",IF(I6&lt;=DP_B2,"Cukup",IF(I6&lt;=DP_B3,"Baik","Baik sekali")))))</f>
        <v>Jelek</v>
      </c>
      <c r="K6" s="31" t="n">
        <f aca="false">IF(OR($B6="",C6=0),"",SUMIFS(SKOR!$AS$6:$AS$55,SKOR!$E$6:$E$55,1)/C6)</f>
        <v>24.0588235294118</v>
      </c>
      <c r="L6" s="34" t="n">
        <f aca="false">IF(K6="","",IFERROR((K6-MEAN_SKOR)/SD_SKOR*SQRT(E6/(1-E6)),""))</f>
        <v>0.0292295015480187</v>
      </c>
      <c r="M6" s="34" t="n">
        <f aca="false">IF($B6="","",R_TABEL)</f>
        <v>0.355045889177768</v>
      </c>
      <c r="N6" s="16" t="str">
        <f aca="false">IF($B6="","",IF(L6="","Tidak valid",IF(L6&gt;M6,"Valid","Tidak valid")))</f>
        <v>Tidak valid</v>
      </c>
      <c r="O6" s="34" t="n">
        <f aca="false">IF($B6="","",E6*(1-E6))</f>
        <v>0.247658688865765</v>
      </c>
      <c r="P6" s="16" t="n">
        <f aca="false">IF($B6="","",PENGECOH!T6)</f>
        <v>3</v>
      </c>
      <c r="Q6" s="16" t="str">
        <f aca="false">IF($B6="","",IF(AND(ISNUMBER(I6),I6&lt;0),"Diganti/Dibuang",IF((N6="Valid")+AND(ISNUMBER(I6),I6&gt;DP_B1)+(F6="Sedang")=3,"Diterima",IF((N6="Valid")+AND(ISNUMBER(I6),I6&gt;DP_B1)+(F6="Sedang")=2,"Direvisi","Diganti/Dibuang"))))</f>
        <v>Diganti/Dibuang</v>
      </c>
      <c r="R6" s="35" t="str">
        <f aca="false">IF($B6="","",IF(AND(Q6="Diterima",P6=3),"Soal baik; dapat disimpan di bank soal",TRIM(IF(F6="Sukar","Terlalu sukar. ",IF(F6="Mudah","Terlalu mudah. ",""))&amp;IF(N6&lt;&gt;"Valid","Validitas rendah. ","")&amp;IF(AND(ISNUMBER(I6),I6&lt;0),"Daya pembeda negatif (periksa kunci). ",IF(AND(ISNUMBER(I6),I6&gt;DP_B1),"","Daya pembeda rendah. "))&amp;IF(P6&lt;3,"Ada pengecoh tidak berfungsi.",""))))</f>
        <v>Validitas rendah. Daya pembeda rendah.</v>
      </c>
      <c r="S6" s="35" t="str">
        <f aca="false">IF(KUNCI!C6="","",KUNCI!C6)</f>
        <v/>
      </c>
      <c r="T6" s="36" t="str">
        <f aca="false">IF($Q6="Diterima",$A6,"")</f>
        <v/>
      </c>
      <c r="U6" s="36" t="str">
        <f aca="false">IF($Q6="Direvisi",$A6,"")</f>
        <v/>
      </c>
      <c r="V6" s="36" t="n">
        <f aca="false">IF($Q6="Diganti/Dibuang",$A6,"")</f>
        <v>1</v>
      </c>
    </row>
    <row r="7" customFormat="false" ht="15" hidden="false" customHeight="true" outlineLevel="0" collapsed="false">
      <c r="A7" s="16" t="n">
        <v>2</v>
      </c>
      <c r="B7" s="16" t="str">
        <f aca="false">IF(KUNCI!B7="","",UPPER(KUNCI!B7))</f>
        <v>D</v>
      </c>
      <c r="C7" s="16" t="n">
        <f aca="false">IF($B7="","",SUM(SKOR!$F$6:$F$55))</f>
        <v>21</v>
      </c>
      <c r="D7" s="16" t="n">
        <f aca="false">IF($B7="","",N_SISWA-C7)</f>
        <v>10</v>
      </c>
      <c r="E7" s="31" t="n">
        <f aca="false">IF($B7="","",IFERROR(C7/N_SISWA,""))</f>
        <v>0.67741935483871</v>
      </c>
      <c r="F7" s="16" t="str">
        <f aca="false">IF(E7="","",IF(E7&lt;=BATAS_SUKAR,"Sukar",IF(E7&lt;=BATAS_MUDAH,"Sedang","Mudah")))</f>
        <v>Sedang</v>
      </c>
      <c r="G7" s="16" t="n">
        <f aca="false">IF($B7="","",SUMIFS(SKOR!$F$6:$F$55,SKOR!$AW$6:$AW$55,"&lt;="&amp;N_GRUP))</f>
        <v>7</v>
      </c>
      <c r="H7" s="16" t="n">
        <f aca="false">IF($B7="","",SUMIFS(SKOR!$F$6:$F$55,SKOR!$AW$6:$AW$55,"&gt;"&amp;(N_SISWA-N_GRUP)))</f>
        <v>4</v>
      </c>
      <c r="I7" s="31" t="n">
        <f aca="false">IF($B7="","",IFERROR((G7-H7)/N_GRUP,""))</f>
        <v>0.375</v>
      </c>
      <c r="J7" s="16" t="str">
        <f aca="false">IF(I7="","",IF(I7&lt;0,"Sangat jelek",IF(I7&lt;=DP_B1,"Jelek",IF(I7&lt;=DP_B2,"Cukup",IF(I7&lt;=DP_B3,"Baik","Baik sekali")))))</f>
        <v>Cukup</v>
      </c>
      <c r="K7" s="31" t="n">
        <f aca="false">IF(OR($B7="",C7=0),"",SUMIFS(SKOR!$AS$6:$AS$55,SKOR!$F$6:$F$55,1)/C7)</f>
        <v>24.952380952381</v>
      </c>
      <c r="L7" s="34" t="n">
        <f aca="false">IF(K7="","",IFERROR((K7-MEAN_SKOR)/SD_SKOR*SQRT(E7/(1-E7)),""))</f>
        <v>0.259183345776382</v>
      </c>
      <c r="M7" s="34" t="n">
        <f aca="false">IF($B7="","",R_TABEL)</f>
        <v>0.355045889177768</v>
      </c>
      <c r="N7" s="16" t="str">
        <f aca="false">IF($B7="","",IF(L7="","Tidak valid",IF(L7&gt;M7,"Valid","Tidak valid")))</f>
        <v>Tidak valid</v>
      </c>
      <c r="O7" s="34" t="n">
        <f aca="false">IF($B7="","",E7*(1-E7))</f>
        <v>0.218522372528616</v>
      </c>
      <c r="P7" s="16" t="n">
        <f aca="false">IF($B7="","",PENGECOH!T7)</f>
        <v>3</v>
      </c>
      <c r="Q7" s="16" t="str">
        <f aca="false">IF($B7="","",IF(AND(ISNUMBER(I7),I7&lt;0),"Diganti/Dibuang",IF((N7="Valid")+AND(ISNUMBER(I7),I7&gt;DP_B1)+(F7="Sedang")=3,"Diterima",IF((N7="Valid")+AND(ISNUMBER(I7),I7&gt;DP_B1)+(F7="Sedang")=2,"Direvisi","Diganti/Dibuang"))))</f>
        <v>Direvisi</v>
      </c>
      <c r="R7" s="35" t="str">
        <f aca="false">IF($B7="","",IF(AND(Q7="Diterima",P7=3),"Soal baik; dapat disimpan di bank soal",TRIM(IF(F7="Sukar","Terlalu sukar. ",IF(F7="Mudah","Terlalu mudah. ",""))&amp;IF(N7&lt;&gt;"Valid","Validitas rendah. ","")&amp;IF(AND(ISNUMBER(I7),I7&lt;0),"Daya pembeda negatif (periksa kunci). ",IF(AND(ISNUMBER(I7),I7&gt;DP_B1),"","Daya pembeda rendah. "))&amp;IF(P7&lt;3,"Ada pengecoh tidak berfungsi.",""))))</f>
        <v>Validitas rendah.</v>
      </c>
      <c r="S7" s="35" t="str">
        <f aca="false">IF(KUNCI!C7="","",KUNCI!C7)</f>
        <v/>
      </c>
      <c r="T7" s="36" t="str">
        <f aca="false">IF($Q7="Diterima",$A7,"")</f>
        <v/>
      </c>
      <c r="U7" s="36" t="n">
        <f aca="false">IF($Q7="Direvisi",$A7,"")</f>
        <v>2</v>
      </c>
      <c r="V7" s="36" t="str">
        <f aca="false">IF($Q7="Diganti/Dibuang",$A7,"")</f>
        <v/>
      </c>
    </row>
    <row r="8" customFormat="false" ht="15" hidden="false" customHeight="true" outlineLevel="0" collapsed="false">
      <c r="A8" s="16" t="n">
        <v>3</v>
      </c>
      <c r="B8" s="16" t="str">
        <f aca="false">IF(KUNCI!B8="","",UPPER(KUNCI!B8))</f>
        <v>B</v>
      </c>
      <c r="C8" s="16" t="n">
        <f aca="false">IF($B8="","",SUM(SKOR!$G$6:$G$55))</f>
        <v>18</v>
      </c>
      <c r="D8" s="16" t="n">
        <f aca="false">IF($B8="","",N_SISWA-C8)</f>
        <v>13</v>
      </c>
      <c r="E8" s="31" t="n">
        <f aca="false">IF($B8="","",IFERROR(C8/N_SISWA,""))</f>
        <v>0.580645161290323</v>
      </c>
      <c r="F8" s="16" t="str">
        <f aca="false">IF(E8="","",IF(E8&lt;=BATAS_SUKAR,"Sukar",IF(E8&lt;=BATAS_MUDAH,"Sedang","Mudah")))</f>
        <v>Sedang</v>
      </c>
      <c r="G8" s="16" t="n">
        <f aca="false">IF($B8="","",SUMIFS(SKOR!$G$6:$G$55,SKOR!$AW$6:$AW$55,"&lt;="&amp;N_GRUP))</f>
        <v>4</v>
      </c>
      <c r="H8" s="16" t="n">
        <f aca="false">IF($B8="","",SUMIFS(SKOR!$G$6:$G$55,SKOR!$AW$6:$AW$55,"&gt;"&amp;(N_SISWA-N_GRUP)))</f>
        <v>4</v>
      </c>
      <c r="I8" s="31" t="n">
        <f aca="false">IF($B8="","",IFERROR((G8-H8)/N_GRUP,""))</f>
        <v>0</v>
      </c>
      <c r="J8" s="16" t="str">
        <f aca="false">IF(I8="","",IF(I8&lt;0,"Sangat jelek",IF(I8&lt;=DP_B1,"Jelek",IF(I8&lt;=DP_B2,"Cukup",IF(I8&lt;=DP_B3,"Baik","Baik sekali")))))</f>
        <v>Jelek</v>
      </c>
      <c r="K8" s="31" t="n">
        <f aca="false">IF(OR($B8="",C8=0),"",SUMIFS(SKOR!$AS$6:$AS$55,SKOR!$G$6:$G$55,1)/C8)</f>
        <v>23.6666666666667</v>
      </c>
      <c r="L8" s="34" t="n">
        <f aca="false">IF(K8="","",IFERROR((K8-MEAN_SKOR)/SD_SKOR*SQRT(E8/(1-E8)),""))</f>
        <v>-0.0474528212543394</v>
      </c>
      <c r="M8" s="34" t="n">
        <f aca="false">IF($B8="","",R_TABEL)</f>
        <v>0.355045889177768</v>
      </c>
      <c r="N8" s="16" t="str">
        <f aca="false">IF($B8="","",IF(L8="","Tidak valid",IF(L8&gt;M8,"Valid","Tidak valid")))</f>
        <v>Tidak valid</v>
      </c>
      <c r="O8" s="34" t="n">
        <f aca="false">IF($B8="","",E8*(1-E8))</f>
        <v>0.243496357960458</v>
      </c>
      <c r="P8" s="16" t="n">
        <f aca="false">IF($B8="","",PENGECOH!T8)</f>
        <v>3</v>
      </c>
      <c r="Q8" s="16" t="str">
        <f aca="false">IF($B8="","",IF(AND(ISNUMBER(I8),I8&lt;0),"Diganti/Dibuang",IF((N8="Valid")+AND(ISNUMBER(I8),I8&gt;DP_B1)+(F8="Sedang")=3,"Diterima",IF((N8="Valid")+AND(ISNUMBER(I8),I8&gt;DP_B1)+(F8="Sedang")=2,"Direvisi","Diganti/Dibuang"))))</f>
        <v>Diganti/Dibuang</v>
      </c>
      <c r="R8" s="35" t="str">
        <f aca="false">IF($B8="","",IF(AND(Q8="Diterima",P8=3),"Soal baik; dapat disimpan di bank soal",TRIM(IF(F8="Sukar","Terlalu sukar. ",IF(F8="Mudah","Terlalu mudah. ",""))&amp;IF(N8&lt;&gt;"Valid","Validitas rendah. ","")&amp;IF(AND(ISNUMBER(I8),I8&lt;0),"Daya pembeda negatif (periksa kunci). ",IF(AND(ISNUMBER(I8),I8&gt;DP_B1),"","Daya pembeda rendah. "))&amp;IF(P8&lt;3,"Ada pengecoh tidak berfungsi.",""))))</f>
        <v>Validitas rendah. Daya pembeda rendah.</v>
      </c>
      <c r="S8" s="35" t="str">
        <f aca="false">IF(KUNCI!C8="","",KUNCI!C8)</f>
        <v/>
      </c>
      <c r="T8" s="36" t="str">
        <f aca="false">IF($Q8="Diterima",$A8,"")</f>
        <v/>
      </c>
      <c r="U8" s="36" t="str">
        <f aca="false">IF($Q8="Direvisi",$A8,"")</f>
        <v/>
      </c>
      <c r="V8" s="36" t="n">
        <f aca="false">IF($Q8="Diganti/Dibuang",$A8,"")</f>
        <v>3</v>
      </c>
    </row>
    <row r="9" customFormat="false" ht="23.25" hidden="false" customHeight="true" outlineLevel="0" collapsed="false">
      <c r="A9" s="16" t="n">
        <v>4</v>
      </c>
      <c r="B9" s="16" t="str">
        <f aca="false">IF(KUNCI!B9="","",UPPER(KUNCI!B9))</f>
        <v>A</v>
      </c>
      <c r="C9" s="16" t="n">
        <f aca="false">IF($B9="","",SUM(SKOR!$H$6:$H$55))</f>
        <v>22</v>
      </c>
      <c r="D9" s="16" t="n">
        <f aca="false">IF($B9="","",N_SISWA-C9)</f>
        <v>9</v>
      </c>
      <c r="E9" s="31" t="n">
        <f aca="false">IF($B9="","",IFERROR(C9/N_SISWA,""))</f>
        <v>0.709677419354839</v>
      </c>
      <c r="F9" s="16" t="str">
        <f aca="false">IF(E9="","",IF(E9&lt;=BATAS_SUKAR,"Sukar",IF(E9&lt;=BATAS_MUDAH,"Sedang","Mudah")))</f>
        <v>Mudah</v>
      </c>
      <c r="G9" s="16" t="n">
        <f aca="false">IF($B9="","",SUMIFS(SKOR!$H$6:$H$55,SKOR!$AW$6:$AW$55,"&lt;="&amp;N_GRUP))</f>
        <v>7</v>
      </c>
      <c r="H9" s="16" t="n">
        <f aca="false">IF($B9="","",SUMIFS(SKOR!$H$6:$H$55,SKOR!$AW$6:$AW$55,"&gt;"&amp;(N_SISWA-N_GRUP)))</f>
        <v>3</v>
      </c>
      <c r="I9" s="31" t="n">
        <f aca="false">IF($B9="","",IFERROR((G9-H9)/N_GRUP,""))</f>
        <v>0.5</v>
      </c>
      <c r="J9" s="16" t="str">
        <f aca="false">IF(I9="","",IF(I9&lt;0,"Sangat jelek",IF(I9&lt;=DP_B1,"Jelek",IF(I9&lt;=DP_B2,"Cukup",IF(I9&lt;=DP_B3,"Baik","Baik sekali")))))</f>
        <v>Baik</v>
      </c>
      <c r="K9" s="31" t="n">
        <f aca="false">IF(OR($B9="",C9=0),"",SUMIFS(SKOR!$AS$6:$AS$55,SKOR!$H$6:$H$55,1)/C9)</f>
        <v>25.0909090909091</v>
      </c>
      <c r="L9" s="34" t="n">
        <f aca="false">IF(K9="","",IFERROR((K9-MEAN_SKOR)/SD_SKOR*SQRT(E9/(1-E9)),""))</f>
        <v>0.316554476404749</v>
      </c>
      <c r="M9" s="34" t="n">
        <f aca="false">IF($B9="","",R_TABEL)</f>
        <v>0.355045889177768</v>
      </c>
      <c r="N9" s="16" t="str">
        <f aca="false">IF($B9="","",IF(L9="","Tidak valid",IF(L9&gt;M9,"Valid","Tidak valid")))</f>
        <v>Tidak valid</v>
      </c>
      <c r="O9" s="34" t="n">
        <f aca="false">IF($B9="","",E9*(1-E9))</f>
        <v>0.206035379812695</v>
      </c>
      <c r="P9" s="16" t="n">
        <f aca="false">IF($B9="","",PENGECOH!T9)</f>
        <v>3</v>
      </c>
      <c r="Q9" s="16" t="str">
        <f aca="false">IF($B9="","",IF(AND(ISNUMBER(I9),I9&lt;0),"Diganti/Dibuang",IF((N9="Valid")+AND(ISNUMBER(I9),I9&gt;DP_B1)+(F9="Sedang")=3,"Diterima",IF((N9="Valid")+AND(ISNUMBER(I9),I9&gt;DP_B1)+(F9="Sedang")=2,"Direvisi","Diganti/Dibuang"))))</f>
        <v>Diganti/Dibuang</v>
      </c>
      <c r="R9" s="35" t="str">
        <f aca="false">IF($B9="","",IF(AND(Q9="Diterima",P9=3),"Soal baik; dapat disimpan di bank soal",TRIM(IF(F9="Sukar","Terlalu sukar. ",IF(F9="Mudah","Terlalu mudah. ",""))&amp;IF(N9&lt;&gt;"Valid","Validitas rendah. ","")&amp;IF(AND(ISNUMBER(I9),I9&lt;0),"Daya pembeda negatif (periksa kunci). ",IF(AND(ISNUMBER(I9),I9&gt;DP_B1),"","Daya pembeda rendah. "))&amp;IF(P9&lt;3,"Ada pengecoh tidak berfungsi.",""))))</f>
        <v>Terlalu mudah. Validitas rendah.</v>
      </c>
      <c r="S9" s="35" t="str">
        <f aca="false">IF(KUNCI!C9="","",KUNCI!C9)</f>
        <v/>
      </c>
      <c r="T9" s="36" t="str">
        <f aca="false">IF($Q9="Diterima",$A9,"")</f>
        <v/>
      </c>
      <c r="U9" s="36" t="str">
        <f aca="false">IF($Q9="Direvisi",$A9,"")</f>
        <v/>
      </c>
      <c r="V9" s="36" t="n">
        <f aca="false">IF($Q9="Diganti/Dibuang",$A9,"")</f>
        <v>4</v>
      </c>
    </row>
    <row r="10" customFormat="false" ht="15" hidden="false" customHeight="true" outlineLevel="0" collapsed="false">
      <c r="A10" s="16" t="n">
        <v>5</v>
      </c>
      <c r="B10" s="16" t="str">
        <f aca="false">IF(KUNCI!B10="","",UPPER(KUNCI!B10))</f>
        <v>C</v>
      </c>
      <c r="C10" s="16" t="n">
        <f aca="false">IF($B10="","",SUM(SKOR!$I$6:$I$55))</f>
        <v>17</v>
      </c>
      <c r="D10" s="16" t="n">
        <f aca="false">IF($B10="","",N_SISWA-C10)</f>
        <v>14</v>
      </c>
      <c r="E10" s="31" t="n">
        <f aca="false">IF($B10="","",IFERROR(C10/N_SISWA,""))</f>
        <v>0.548387096774194</v>
      </c>
      <c r="F10" s="16" t="str">
        <f aca="false">IF(E10="","",IF(E10&lt;=BATAS_SUKAR,"Sukar",IF(E10&lt;=BATAS_MUDAH,"Sedang","Mudah")))</f>
        <v>Sedang</v>
      </c>
      <c r="G10" s="16" t="n">
        <f aca="false">IF($B10="","",SUMIFS(SKOR!$I$6:$I$55,SKOR!$AW$6:$AW$55,"&lt;="&amp;N_GRUP))</f>
        <v>6</v>
      </c>
      <c r="H10" s="16" t="n">
        <f aca="false">IF($B10="","",SUMIFS(SKOR!$I$6:$I$55,SKOR!$AW$6:$AW$55,"&gt;"&amp;(N_SISWA-N_GRUP)))</f>
        <v>4</v>
      </c>
      <c r="I10" s="31" t="n">
        <f aca="false">IF($B10="","",IFERROR((G10-H10)/N_GRUP,""))</f>
        <v>0.25</v>
      </c>
      <c r="J10" s="16" t="str">
        <f aca="false">IF(I10="","",IF(I10&lt;0,"Sangat jelek",IF(I10&lt;=DP_B1,"Jelek",IF(I10&lt;=DP_B2,"Cukup",IF(I10&lt;=DP_B3,"Baik","Baik sekali")))))</f>
        <v>Cukup</v>
      </c>
      <c r="K10" s="31" t="n">
        <f aca="false">IF(OR($B10="",C10=0),"",SUMIFS(SKOR!$AS$6:$AS$55,SKOR!$I$6:$I$55,1)/C10)</f>
        <v>25.2352941176471</v>
      </c>
      <c r="L10" s="34" t="n">
        <f aca="false">IF(K10="","",IFERROR((K10-MEAN_SKOR)/SD_SKOR*SQRT(E10/(1-E10)),""))</f>
        <v>0.250233049837915</v>
      </c>
      <c r="M10" s="34" t="n">
        <f aca="false">IF($B10="","",R_TABEL)</f>
        <v>0.355045889177768</v>
      </c>
      <c r="N10" s="16" t="str">
        <f aca="false">IF($B10="","",IF(L10="","Tidak valid",IF(L10&gt;M10,"Valid","Tidak valid")))</f>
        <v>Tidak valid</v>
      </c>
      <c r="O10" s="34" t="n">
        <f aca="false">IF($B10="","",E10*(1-E10))</f>
        <v>0.247658688865765</v>
      </c>
      <c r="P10" s="16" t="n">
        <f aca="false">IF($B10="","",PENGECOH!T10)</f>
        <v>3</v>
      </c>
      <c r="Q10" s="16" t="str">
        <f aca="false">IF($B10="","",IF(AND(ISNUMBER(I10),I10&lt;0),"Diganti/Dibuang",IF((N10="Valid")+AND(ISNUMBER(I10),I10&gt;DP_B1)+(F10="Sedang")=3,"Diterima",IF((N10="Valid")+AND(ISNUMBER(I10),I10&gt;DP_B1)+(F10="Sedang")=2,"Direvisi","Diganti/Dibuang"))))</f>
        <v>Direvisi</v>
      </c>
      <c r="R10" s="35" t="str">
        <f aca="false">IF($B10="","",IF(AND(Q10="Diterima",P10=3),"Soal baik; dapat disimpan di bank soal",TRIM(IF(F10="Sukar","Terlalu sukar. ",IF(F10="Mudah","Terlalu mudah. ",""))&amp;IF(N10&lt;&gt;"Valid","Validitas rendah. ","")&amp;IF(AND(ISNUMBER(I10),I10&lt;0),"Daya pembeda negatif (periksa kunci). ",IF(AND(ISNUMBER(I10),I10&gt;DP_B1),"","Daya pembeda rendah. "))&amp;IF(P10&lt;3,"Ada pengecoh tidak berfungsi.",""))))</f>
        <v>Validitas rendah.</v>
      </c>
      <c r="S10" s="35" t="str">
        <f aca="false">IF(KUNCI!C10="","",KUNCI!C10)</f>
        <v/>
      </c>
      <c r="T10" s="36" t="str">
        <f aca="false">IF($Q10="Diterima",$A10,"")</f>
        <v/>
      </c>
      <c r="U10" s="36" t="n">
        <f aca="false">IF($Q10="Direvisi",$A10,"")</f>
        <v>5</v>
      </c>
      <c r="V10" s="36" t="str">
        <f aca="false">IF($Q10="Diganti/Dibuang",$A10,"")</f>
        <v/>
      </c>
    </row>
    <row r="11" customFormat="false" ht="15" hidden="false" customHeight="true" outlineLevel="0" collapsed="false">
      <c r="A11" s="16" t="n">
        <v>6</v>
      </c>
      <c r="B11" s="16" t="str">
        <f aca="false">IF(KUNCI!B11="","",UPPER(KUNCI!B11))</f>
        <v>C</v>
      </c>
      <c r="C11" s="16" t="n">
        <f aca="false">IF($B11="","",SUM(SKOR!$J$6:$J$55))</f>
        <v>16</v>
      </c>
      <c r="D11" s="16" t="n">
        <f aca="false">IF($B11="","",N_SISWA-C11)</f>
        <v>15</v>
      </c>
      <c r="E11" s="31" t="n">
        <f aca="false">IF($B11="","",IFERROR(C11/N_SISWA,""))</f>
        <v>0.516129032258065</v>
      </c>
      <c r="F11" s="16" t="str">
        <f aca="false">IF(E11="","",IF(E11&lt;=BATAS_SUKAR,"Sukar",IF(E11&lt;=BATAS_MUDAH,"Sedang","Mudah")))</f>
        <v>Sedang</v>
      </c>
      <c r="G11" s="16" t="n">
        <f aca="false">IF($B11="","",SUMIFS(SKOR!$J$6:$J$55,SKOR!$AW$6:$AW$55,"&lt;="&amp;N_GRUP))</f>
        <v>6</v>
      </c>
      <c r="H11" s="16" t="n">
        <f aca="false">IF($B11="","",SUMIFS(SKOR!$J$6:$J$55,SKOR!$AW$6:$AW$55,"&gt;"&amp;(N_SISWA-N_GRUP)))</f>
        <v>0</v>
      </c>
      <c r="I11" s="31" t="n">
        <f aca="false">IF($B11="","",IFERROR((G11-H11)/N_GRUP,""))</f>
        <v>0.75</v>
      </c>
      <c r="J11" s="16" t="str">
        <f aca="false">IF(I11="","",IF(I11&lt;0,"Sangat jelek",IF(I11&lt;=DP_B1,"Jelek",IF(I11&lt;=DP_B2,"Cukup",IF(I11&lt;=DP_B3,"Baik","Baik sekali")))))</f>
        <v>Baik sekali</v>
      </c>
      <c r="K11" s="31" t="n">
        <f aca="false">IF(OR($B11="",C11=0),"",SUMIFS(SKOR!$AS$6:$AS$55,SKOR!$J$6:$J$55,1)/C11)</f>
        <v>27.0625</v>
      </c>
      <c r="L11" s="34" t="n">
        <f aca="false">IF(K11="","",IFERROR((K11-MEAN_SKOR)/SD_SKOR*SQRT(E11/(1-E11)),""))</f>
        <v>0.556236407085075</v>
      </c>
      <c r="M11" s="34" t="n">
        <f aca="false">IF($B11="","",R_TABEL)</f>
        <v>0.355045889177768</v>
      </c>
      <c r="N11" s="16" t="str">
        <f aca="false">IF($B11="","",IF(L11="","Tidak valid",IF(L11&gt;M11,"Valid","Tidak valid")))</f>
        <v>Valid</v>
      </c>
      <c r="O11" s="34" t="n">
        <f aca="false">IF($B11="","",E11*(1-E11))</f>
        <v>0.249739854318418</v>
      </c>
      <c r="P11" s="16" t="n">
        <f aca="false">IF($B11="","",PENGECOH!T11)</f>
        <v>3</v>
      </c>
      <c r="Q11" s="16" t="str">
        <f aca="false">IF($B11="","",IF(AND(ISNUMBER(I11),I11&lt;0),"Diganti/Dibuang",IF((N11="Valid")+AND(ISNUMBER(I11),I11&gt;DP_B1)+(F11="Sedang")=3,"Diterima",IF((N11="Valid")+AND(ISNUMBER(I11),I11&gt;DP_B1)+(F11="Sedang")=2,"Direvisi","Diganti/Dibuang"))))</f>
        <v>Diterima</v>
      </c>
      <c r="R11" s="35" t="str">
        <f aca="false">IF($B11="","",IF(AND(Q11="Diterima",P11=3),"Soal baik; dapat disimpan di bank soal",TRIM(IF(F11="Sukar","Terlalu sukar. ",IF(F11="Mudah","Terlalu mudah. ",""))&amp;IF(N11&lt;&gt;"Valid","Validitas rendah. ","")&amp;IF(AND(ISNUMBER(I11),I11&lt;0),"Daya pembeda negatif (periksa kunci). ",IF(AND(ISNUMBER(I11),I11&gt;DP_B1),"","Daya pembeda rendah. "))&amp;IF(P11&lt;3,"Ada pengecoh tidak berfungsi.",""))))</f>
        <v>Soal baik; dapat disimpan di bank soal</v>
      </c>
      <c r="S11" s="35" t="str">
        <f aca="false">IF(KUNCI!C11="","",KUNCI!C11)</f>
        <v/>
      </c>
      <c r="T11" s="36" t="n">
        <f aca="false">IF($Q11="Diterima",$A11,"")</f>
        <v>6</v>
      </c>
      <c r="U11" s="36" t="str">
        <f aca="false">IF($Q11="Direvisi",$A11,"")</f>
        <v/>
      </c>
      <c r="V11" s="36" t="str">
        <f aca="false">IF($Q11="Diganti/Dibuang",$A11,"")</f>
        <v/>
      </c>
    </row>
    <row r="12" customFormat="false" ht="23.25" hidden="false" customHeight="true" outlineLevel="0" collapsed="false">
      <c r="A12" s="16" t="n">
        <v>7</v>
      </c>
      <c r="B12" s="16" t="str">
        <f aca="false">IF(KUNCI!B12="","",UPPER(KUNCI!B12))</f>
        <v>B</v>
      </c>
      <c r="C12" s="16" t="n">
        <f aca="false">IF($B12="","",SUM(SKOR!$K$6:$K$55))</f>
        <v>18</v>
      </c>
      <c r="D12" s="16" t="n">
        <f aca="false">IF($B12="","",N_SISWA-C12)</f>
        <v>13</v>
      </c>
      <c r="E12" s="31" t="n">
        <f aca="false">IF($B12="","",IFERROR(C12/N_SISWA,""))</f>
        <v>0.580645161290323</v>
      </c>
      <c r="F12" s="16" t="str">
        <f aca="false">IF(E12="","",IF(E12&lt;=BATAS_SUKAR,"Sukar",IF(E12&lt;=BATAS_MUDAH,"Sedang","Mudah")))</f>
        <v>Sedang</v>
      </c>
      <c r="G12" s="16" t="n">
        <f aca="false">IF($B12="","",SUMIFS(SKOR!$K$6:$K$55,SKOR!$AW$6:$AW$55,"&lt;="&amp;N_GRUP))</f>
        <v>7</v>
      </c>
      <c r="H12" s="16" t="n">
        <f aca="false">IF($B12="","",SUMIFS(SKOR!$K$6:$K$55,SKOR!$AW$6:$AW$55,"&gt;"&amp;(N_SISWA-N_GRUP)))</f>
        <v>3</v>
      </c>
      <c r="I12" s="31" t="n">
        <f aca="false">IF($B12="","",IFERROR((G12-H12)/N_GRUP,""))</f>
        <v>0.5</v>
      </c>
      <c r="J12" s="16" t="str">
        <f aca="false">IF(I12="","",IF(I12&lt;0,"Sangat jelek",IF(I12&lt;=DP_B1,"Jelek",IF(I12&lt;=DP_B2,"Cukup",IF(I12&lt;=DP_B3,"Baik","Baik sekali")))))</f>
        <v>Baik</v>
      </c>
      <c r="K12" s="31" t="n">
        <f aca="false">IF(OR($B12="",C12=0),"",SUMIFS(SKOR!$AS$6:$AS$55,SKOR!$K$6:$K$55,1)/C12)</f>
        <v>25.8333333333333</v>
      </c>
      <c r="L12" s="34" t="n">
        <f aca="false">IF(K12="","",IFERROR((K12-MEAN_SKOR)/SD_SKOR*SQRT(E12/(1-E12)),""))</f>
        <v>0.387171882507</v>
      </c>
      <c r="M12" s="34" t="n">
        <f aca="false">IF($B12="","",R_TABEL)</f>
        <v>0.355045889177768</v>
      </c>
      <c r="N12" s="16" t="str">
        <f aca="false">IF($B12="","",IF(L12="","Tidak valid",IF(L12&gt;M12,"Valid","Tidak valid")))</f>
        <v>Valid</v>
      </c>
      <c r="O12" s="34" t="n">
        <f aca="false">IF($B12="","",E12*(1-E12))</f>
        <v>0.243496357960458</v>
      </c>
      <c r="P12" s="16" t="n">
        <f aca="false">IF($B12="","",PENGECOH!T12)</f>
        <v>2</v>
      </c>
      <c r="Q12" s="16" t="str">
        <f aca="false">IF($B12="","",IF(AND(ISNUMBER(I12),I12&lt;0),"Diganti/Dibuang",IF((N12="Valid")+AND(ISNUMBER(I12),I12&gt;DP_B1)+(F12="Sedang")=3,"Diterima",IF((N12="Valid")+AND(ISNUMBER(I12),I12&gt;DP_B1)+(F12="Sedang")=2,"Direvisi","Diganti/Dibuang"))))</f>
        <v>Diterima</v>
      </c>
      <c r="R12" s="35" t="str">
        <f aca="false">IF($B12="","",IF(AND(Q12="Diterima",P12=3),"Soal baik; dapat disimpan di bank soal",TRIM(IF(F12="Sukar","Terlalu sukar. ",IF(F12="Mudah","Terlalu mudah. ",""))&amp;IF(N12&lt;&gt;"Valid","Validitas rendah. ","")&amp;IF(AND(ISNUMBER(I12),I12&lt;0),"Daya pembeda negatif (periksa kunci). ",IF(AND(ISNUMBER(I12),I12&gt;DP_B1),"","Daya pembeda rendah. "))&amp;IF(P12&lt;3,"Ada pengecoh tidak berfungsi.",""))))</f>
        <v>Ada pengecoh tidak berfungsi.</v>
      </c>
      <c r="S12" s="35" t="str">
        <f aca="false">IF(KUNCI!C12="","",KUNCI!C12)</f>
        <v/>
      </c>
      <c r="T12" s="36" t="n">
        <f aca="false">IF($Q12="Diterima",$A12,"")</f>
        <v>7</v>
      </c>
      <c r="U12" s="36" t="str">
        <f aca="false">IF($Q12="Direvisi",$A12,"")</f>
        <v/>
      </c>
      <c r="V12" s="36" t="str">
        <f aca="false">IF($Q12="Diganti/Dibuang",$A12,"")</f>
        <v/>
      </c>
    </row>
    <row r="13" customFormat="false" ht="15" hidden="false" customHeight="true" outlineLevel="0" collapsed="false">
      <c r="A13" s="16" t="n">
        <v>8</v>
      </c>
      <c r="B13" s="16" t="str">
        <f aca="false">IF(KUNCI!B13="","",UPPER(KUNCI!B13))</f>
        <v>D</v>
      </c>
      <c r="C13" s="16" t="n">
        <f aca="false">IF($B13="","",SUM(SKOR!$L$6:$L$55))</f>
        <v>26</v>
      </c>
      <c r="D13" s="16" t="n">
        <f aca="false">IF($B13="","",N_SISWA-C13)</f>
        <v>5</v>
      </c>
      <c r="E13" s="31" t="n">
        <f aca="false">IF($B13="","",IFERROR(C13/N_SISWA,""))</f>
        <v>0.838709677419355</v>
      </c>
      <c r="F13" s="16" t="str">
        <f aca="false">IF(E13="","",IF(E13&lt;=BATAS_SUKAR,"Sukar",IF(E13&lt;=BATAS_MUDAH,"Sedang","Mudah")))</f>
        <v>Mudah</v>
      </c>
      <c r="G13" s="16" t="n">
        <f aca="false">IF($B13="","",SUMIFS(SKOR!$L$6:$L$55,SKOR!$AW$6:$AW$55,"&lt;="&amp;N_GRUP))</f>
        <v>8</v>
      </c>
      <c r="H13" s="16" t="n">
        <f aca="false">IF($B13="","",SUMIFS(SKOR!$L$6:$L$55,SKOR!$AW$6:$AW$55,"&gt;"&amp;(N_SISWA-N_GRUP)))</f>
        <v>5</v>
      </c>
      <c r="I13" s="31" t="n">
        <f aca="false">IF($B13="","",IFERROR((G13-H13)/N_GRUP,""))</f>
        <v>0.375</v>
      </c>
      <c r="J13" s="16" t="str">
        <f aca="false">IF(I13="","",IF(I13&lt;0,"Sangat jelek",IF(I13&lt;=DP_B1,"Jelek",IF(I13&lt;=DP_B2,"Cukup",IF(I13&lt;=DP_B3,"Baik","Baik sekali")))))</f>
        <v>Cukup</v>
      </c>
      <c r="K13" s="31" t="n">
        <f aca="false">IF(OR($B13="",C13=0),"",SUMIFS(SKOR!$AS$6:$AS$55,SKOR!$L$6:$L$55,1)/C13)</f>
        <v>24.7692307692308</v>
      </c>
      <c r="L13" s="34" t="n">
        <f aca="false">IF(K13="","",IFERROR((K13-MEAN_SKOR)/SD_SKOR*SQRT(E13/(1-E13)),""))</f>
        <v>0.336650901664081</v>
      </c>
      <c r="M13" s="34" t="n">
        <f aca="false">IF($B13="","",R_TABEL)</f>
        <v>0.355045889177768</v>
      </c>
      <c r="N13" s="16" t="str">
        <f aca="false">IF($B13="","",IF(L13="","Tidak valid",IF(L13&gt;M13,"Valid","Tidak valid")))</f>
        <v>Tidak valid</v>
      </c>
      <c r="O13" s="34" t="n">
        <f aca="false">IF($B13="","",E13*(1-E13))</f>
        <v>0.135275754422477</v>
      </c>
      <c r="P13" s="16" t="n">
        <f aca="false">IF($B13="","",PENGECOH!T13)</f>
        <v>2</v>
      </c>
      <c r="Q13" s="16" t="str">
        <f aca="false">IF($B13="","",IF(AND(ISNUMBER(I13),I13&lt;0),"Diganti/Dibuang",IF((N13="Valid")+AND(ISNUMBER(I13),I13&gt;DP_B1)+(F13="Sedang")=3,"Diterima",IF((N13="Valid")+AND(ISNUMBER(I13),I13&gt;DP_B1)+(F13="Sedang")=2,"Direvisi","Diganti/Dibuang"))))</f>
        <v>Diganti/Dibuang</v>
      </c>
      <c r="R13" s="35" t="str">
        <f aca="false">IF($B13="","",IF(AND(Q13="Diterima",P13=3),"Soal baik; dapat disimpan di bank soal",TRIM(IF(F13="Sukar","Terlalu sukar. ",IF(F13="Mudah","Terlalu mudah. ",""))&amp;IF(N13&lt;&gt;"Valid","Validitas rendah. ","")&amp;IF(AND(ISNUMBER(I13),I13&lt;0),"Daya pembeda negatif (periksa kunci). ",IF(AND(ISNUMBER(I13),I13&gt;DP_B1),"","Daya pembeda rendah. "))&amp;IF(P13&lt;3,"Ada pengecoh tidak berfungsi.",""))))</f>
        <v>Terlalu mudah. Validitas rendah. Ada pengecoh tidak berfungsi.</v>
      </c>
      <c r="S13" s="35" t="str">
        <f aca="false">IF(KUNCI!C13="","",KUNCI!C13)</f>
        <v/>
      </c>
      <c r="T13" s="36" t="str">
        <f aca="false">IF($Q13="Diterima",$A13,"")</f>
        <v/>
      </c>
      <c r="U13" s="36" t="str">
        <f aca="false">IF($Q13="Direvisi",$A13,"")</f>
        <v/>
      </c>
      <c r="V13" s="36" t="n">
        <f aca="false">IF($Q13="Diganti/Dibuang",$A13,"")</f>
        <v>8</v>
      </c>
    </row>
    <row r="14" customFormat="false" ht="15" hidden="false" customHeight="true" outlineLevel="0" collapsed="false">
      <c r="A14" s="16" t="n">
        <v>9</v>
      </c>
      <c r="B14" s="16" t="str">
        <f aca="false">IF(KUNCI!B14="","",UPPER(KUNCI!B14))</f>
        <v>D</v>
      </c>
      <c r="C14" s="16" t="n">
        <f aca="false">IF($B14="","",SUM(SKOR!$M$6:$M$55))</f>
        <v>14</v>
      </c>
      <c r="D14" s="16" t="n">
        <f aca="false">IF($B14="","",N_SISWA-C14)</f>
        <v>17</v>
      </c>
      <c r="E14" s="31" t="n">
        <f aca="false">IF($B14="","",IFERROR(C14/N_SISWA,""))</f>
        <v>0.451612903225806</v>
      </c>
      <c r="F14" s="16" t="str">
        <f aca="false">IF(E14="","",IF(E14&lt;=BATAS_SUKAR,"Sukar",IF(E14&lt;=BATAS_MUDAH,"Sedang","Mudah")))</f>
        <v>Sedang</v>
      </c>
      <c r="G14" s="16" t="n">
        <f aca="false">IF($B14="","",SUMIFS(SKOR!$M$6:$M$55,SKOR!$AW$6:$AW$55,"&lt;="&amp;N_GRUP))</f>
        <v>4</v>
      </c>
      <c r="H14" s="16" t="n">
        <f aca="false">IF($B14="","",SUMIFS(SKOR!$M$6:$M$55,SKOR!$AW$6:$AW$55,"&gt;"&amp;(N_SISWA-N_GRUP)))</f>
        <v>2</v>
      </c>
      <c r="I14" s="31" t="n">
        <f aca="false">IF($B14="","",IFERROR((G14-H14)/N_GRUP,""))</f>
        <v>0.25</v>
      </c>
      <c r="J14" s="16" t="str">
        <f aca="false">IF(I14="","",IF(I14&lt;0,"Sangat jelek",IF(I14&lt;=DP_B1,"Jelek",IF(I14&lt;=DP_B2,"Cukup",IF(I14&lt;=DP_B3,"Baik","Baik sekali")))))</f>
        <v>Cukup</v>
      </c>
      <c r="K14" s="31" t="n">
        <f aca="false">IF(OR($B14="",C14=0),"",SUMIFS(SKOR!$AS$6:$AS$55,SKOR!$M$6:$M$55,1)/C14)</f>
        <v>25.5</v>
      </c>
      <c r="L14" s="34" t="n">
        <f aca="false">IF(K14="","",IFERROR((K14-MEAN_SKOR)/SD_SKOR*SQRT(E14/(1-E14)),""))</f>
        <v>0.247024933814352</v>
      </c>
      <c r="M14" s="34" t="n">
        <f aca="false">IF($B14="","",R_TABEL)</f>
        <v>0.355045889177768</v>
      </c>
      <c r="N14" s="16" t="str">
        <f aca="false">IF($B14="","",IF(L14="","Tidak valid",IF(L14&gt;M14,"Valid","Tidak valid")))</f>
        <v>Tidak valid</v>
      </c>
      <c r="O14" s="34" t="n">
        <f aca="false">IF($B14="","",E14*(1-E14))</f>
        <v>0.247658688865765</v>
      </c>
      <c r="P14" s="16" t="n">
        <f aca="false">IF($B14="","",PENGECOH!T14)</f>
        <v>3</v>
      </c>
      <c r="Q14" s="16" t="str">
        <f aca="false">IF($B14="","",IF(AND(ISNUMBER(I14),I14&lt;0),"Diganti/Dibuang",IF((N14="Valid")+AND(ISNUMBER(I14),I14&gt;DP_B1)+(F14="Sedang")=3,"Diterima",IF((N14="Valid")+AND(ISNUMBER(I14),I14&gt;DP_B1)+(F14="Sedang")=2,"Direvisi","Diganti/Dibuang"))))</f>
        <v>Direvisi</v>
      </c>
      <c r="R14" s="35" t="str">
        <f aca="false">IF($B14="","",IF(AND(Q14="Diterima",P14=3),"Soal baik; dapat disimpan di bank soal",TRIM(IF(F14="Sukar","Terlalu sukar. ",IF(F14="Mudah","Terlalu mudah. ",""))&amp;IF(N14&lt;&gt;"Valid","Validitas rendah. ","")&amp;IF(AND(ISNUMBER(I14),I14&lt;0),"Daya pembeda negatif (periksa kunci). ",IF(AND(ISNUMBER(I14),I14&gt;DP_B1),"","Daya pembeda rendah. "))&amp;IF(P14&lt;3,"Ada pengecoh tidak berfungsi.",""))))</f>
        <v>Validitas rendah.</v>
      </c>
      <c r="S14" s="35" t="str">
        <f aca="false">IF(KUNCI!C14="","",KUNCI!C14)</f>
        <v/>
      </c>
      <c r="T14" s="36" t="str">
        <f aca="false">IF($Q14="Diterima",$A14,"")</f>
        <v/>
      </c>
      <c r="U14" s="36" t="n">
        <f aca="false">IF($Q14="Direvisi",$A14,"")</f>
        <v>9</v>
      </c>
      <c r="V14" s="36" t="str">
        <f aca="false">IF($Q14="Diganti/Dibuang",$A14,"")</f>
        <v/>
      </c>
    </row>
    <row r="15" customFormat="false" ht="15" hidden="false" customHeight="true" outlineLevel="0" collapsed="false">
      <c r="A15" s="16" t="n">
        <v>10</v>
      </c>
      <c r="B15" s="16" t="str">
        <f aca="false">IF(KUNCI!B15="","",UPPER(KUNCI!B15))</f>
        <v>C</v>
      </c>
      <c r="C15" s="16" t="n">
        <f aca="false">IF($B15="","",SUM(SKOR!$N$6:$N$55))</f>
        <v>15</v>
      </c>
      <c r="D15" s="16" t="n">
        <f aca="false">IF($B15="","",N_SISWA-C15)</f>
        <v>16</v>
      </c>
      <c r="E15" s="31" t="n">
        <f aca="false">IF($B15="","",IFERROR(C15/N_SISWA,""))</f>
        <v>0.483870967741936</v>
      </c>
      <c r="F15" s="16" t="str">
        <f aca="false">IF(E15="","",IF(E15&lt;=BATAS_SUKAR,"Sukar",IF(E15&lt;=BATAS_MUDAH,"Sedang","Mudah")))</f>
        <v>Sedang</v>
      </c>
      <c r="G15" s="16" t="n">
        <f aca="false">IF($B15="","",SUMIFS(SKOR!$N$6:$N$55,SKOR!$AW$6:$AW$55,"&lt;="&amp;N_GRUP))</f>
        <v>5</v>
      </c>
      <c r="H15" s="16" t="n">
        <f aca="false">IF($B15="","",SUMIFS(SKOR!$N$6:$N$55,SKOR!$AW$6:$AW$55,"&gt;"&amp;(N_SISWA-N_GRUP)))</f>
        <v>1</v>
      </c>
      <c r="I15" s="31" t="n">
        <f aca="false">IF($B15="","",IFERROR((G15-H15)/N_GRUP,""))</f>
        <v>0.5</v>
      </c>
      <c r="J15" s="16" t="str">
        <f aca="false">IF(I15="","",IF(I15&lt;0,"Sangat jelek",IF(I15&lt;=DP_B1,"Jelek",IF(I15&lt;=DP_B2,"Cukup",IF(I15&lt;=DP_B3,"Baik","Baik sekali")))))</f>
        <v>Baik</v>
      </c>
      <c r="K15" s="31" t="n">
        <f aca="false">IF(OR($B15="",C15=0),"",SUMIFS(SKOR!$AS$6:$AS$55,SKOR!$N$6:$N$55,1)/C15)</f>
        <v>25.9333333333333</v>
      </c>
      <c r="L15" s="34" t="n">
        <f aca="false">IF(K15="","",IFERROR((K15-MEAN_SKOR)/SD_SKOR*SQRT(E15/(1-E15)),""))</f>
        <v>0.335090726412451</v>
      </c>
      <c r="M15" s="34" t="n">
        <f aca="false">IF($B15="","",R_TABEL)</f>
        <v>0.355045889177768</v>
      </c>
      <c r="N15" s="16" t="str">
        <f aca="false">IF($B15="","",IF(L15="","Tidak valid",IF(L15&gt;M15,"Valid","Tidak valid")))</f>
        <v>Tidak valid</v>
      </c>
      <c r="O15" s="34" t="n">
        <f aca="false">IF($B15="","",E15*(1-E15))</f>
        <v>0.249739854318418</v>
      </c>
      <c r="P15" s="16" t="n">
        <f aca="false">IF($B15="","",PENGECOH!T15)</f>
        <v>3</v>
      </c>
      <c r="Q15" s="16" t="str">
        <f aca="false">IF($B15="","",IF(AND(ISNUMBER(I15),I15&lt;0),"Diganti/Dibuang",IF((N15="Valid")+AND(ISNUMBER(I15),I15&gt;DP_B1)+(F15="Sedang")=3,"Diterima",IF((N15="Valid")+AND(ISNUMBER(I15),I15&gt;DP_B1)+(F15="Sedang")=2,"Direvisi","Diganti/Dibuang"))))</f>
        <v>Direvisi</v>
      </c>
      <c r="R15" s="35" t="str">
        <f aca="false">IF($B15="","",IF(AND(Q15="Diterima",P15=3),"Soal baik; dapat disimpan di bank soal",TRIM(IF(F15="Sukar","Terlalu sukar. ",IF(F15="Mudah","Terlalu mudah. ",""))&amp;IF(N15&lt;&gt;"Valid","Validitas rendah. ","")&amp;IF(AND(ISNUMBER(I15),I15&lt;0),"Daya pembeda negatif (periksa kunci). ",IF(AND(ISNUMBER(I15),I15&gt;DP_B1),"","Daya pembeda rendah. "))&amp;IF(P15&lt;3,"Ada pengecoh tidak berfungsi.",""))))</f>
        <v>Validitas rendah.</v>
      </c>
      <c r="S15" s="35" t="str">
        <f aca="false">IF(KUNCI!C15="","",KUNCI!C15)</f>
        <v/>
      </c>
      <c r="T15" s="36" t="str">
        <f aca="false">IF($Q15="Diterima",$A15,"")</f>
        <v/>
      </c>
      <c r="U15" s="36" t="n">
        <f aca="false">IF($Q15="Direvisi",$A15,"")</f>
        <v>10</v>
      </c>
      <c r="V15" s="36" t="str">
        <f aca="false">IF($Q15="Diganti/Dibuang",$A15,"")</f>
        <v/>
      </c>
    </row>
    <row r="16" customFormat="false" ht="15" hidden="false" customHeight="true" outlineLevel="0" collapsed="false">
      <c r="A16" s="16" t="n">
        <v>11</v>
      </c>
      <c r="B16" s="16" t="str">
        <f aca="false">IF(KUNCI!B16="","",UPPER(KUNCI!B16))</f>
        <v>C</v>
      </c>
      <c r="C16" s="16" t="n">
        <f aca="false">IF($B16="","",SUM(SKOR!$O$6:$O$55))</f>
        <v>20</v>
      </c>
      <c r="D16" s="16" t="n">
        <f aca="false">IF($B16="","",N_SISWA-C16)</f>
        <v>11</v>
      </c>
      <c r="E16" s="31" t="n">
        <f aca="false">IF($B16="","",IFERROR(C16/N_SISWA,""))</f>
        <v>0.645161290322581</v>
      </c>
      <c r="F16" s="16" t="str">
        <f aca="false">IF(E16="","",IF(E16&lt;=BATAS_SUKAR,"Sukar",IF(E16&lt;=BATAS_MUDAH,"Sedang","Mudah")))</f>
        <v>Sedang</v>
      </c>
      <c r="G16" s="16" t="n">
        <f aca="false">IF($B16="","",SUMIFS(SKOR!$O$6:$O$55,SKOR!$AW$6:$AW$55,"&lt;="&amp;N_GRUP))</f>
        <v>7</v>
      </c>
      <c r="H16" s="16" t="n">
        <f aca="false">IF($B16="","",SUMIFS(SKOR!$O$6:$O$55,SKOR!$AW$6:$AW$55,"&gt;"&amp;(N_SISWA-N_GRUP)))</f>
        <v>2</v>
      </c>
      <c r="I16" s="31" t="n">
        <f aca="false">IF($B16="","",IFERROR((G16-H16)/N_GRUP,""))</f>
        <v>0.625</v>
      </c>
      <c r="J16" s="16" t="str">
        <f aca="false">IF(I16="","",IF(I16&lt;0,"Sangat jelek",IF(I16&lt;=DP_B1,"Jelek",IF(I16&lt;=DP_B2,"Cukup",IF(I16&lt;=DP_B3,"Baik","Baik sekali")))))</f>
        <v>Baik</v>
      </c>
      <c r="K16" s="31" t="n">
        <f aca="false">IF(OR($B16="",C16=0),"",SUMIFS(SKOR!$AS$6:$AS$55,SKOR!$O$6:$O$55,1)/C16)</f>
        <v>26.05</v>
      </c>
      <c r="L16" s="34" t="n">
        <f aca="false">IF(K16="","",IFERROR((K16-MEAN_SKOR)/SD_SKOR*SQRT(E16/(1-E16)),""))</f>
        <v>0.493472267135978</v>
      </c>
      <c r="M16" s="34" t="n">
        <f aca="false">IF($B16="","",R_TABEL)</f>
        <v>0.355045889177768</v>
      </c>
      <c r="N16" s="16" t="str">
        <f aca="false">IF($B16="","",IF(L16="","Tidak valid",IF(L16&gt;M16,"Valid","Tidak valid")))</f>
        <v>Valid</v>
      </c>
      <c r="O16" s="34" t="n">
        <f aca="false">IF($B16="","",E16*(1-E16))</f>
        <v>0.228928199791883</v>
      </c>
      <c r="P16" s="16" t="n">
        <f aca="false">IF($B16="","",PENGECOH!T16)</f>
        <v>3</v>
      </c>
      <c r="Q16" s="16" t="str">
        <f aca="false">IF($B16="","",IF(AND(ISNUMBER(I16),I16&lt;0),"Diganti/Dibuang",IF((N16="Valid")+AND(ISNUMBER(I16),I16&gt;DP_B1)+(F16="Sedang")=3,"Diterima",IF((N16="Valid")+AND(ISNUMBER(I16),I16&gt;DP_B1)+(F16="Sedang")=2,"Direvisi","Diganti/Dibuang"))))</f>
        <v>Diterima</v>
      </c>
      <c r="R16" s="35" t="str">
        <f aca="false">IF($B16="","",IF(AND(Q16="Diterima",P16=3),"Soal baik; dapat disimpan di bank soal",TRIM(IF(F16="Sukar","Terlalu sukar. ",IF(F16="Mudah","Terlalu mudah. ",""))&amp;IF(N16&lt;&gt;"Valid","Validitas rendah. ","")&amp;IF(AND(ISNUMBER(I16),I16&lt;0),"Daya pembeda negatif (periksa kunci). ",IF(AND(ISNUMBER(I16),I16&gt;DP_B1),"","Daya pembeda rendah. "))&amp;IF(P16&lt;3,"Ada pengecoh tidak berfungsi.",""))))</f>
        <v>Soal baik; dapat disimpan di bank soal</v>
      </c>
      <c r="S16" s="35" t="str">
        <f aca="false">IF(KUNCI!C16="","",KUNCI!C16)</f>
        <v/>
      </c>
      <c r="T16" s="36" t="n">
        <f aca="false">IF($Q16="Diterima",$A16,"")</f>
        <v>11</v>
      </c>
      <c r="U16" s="36" t="str">
        <f aca="false">IF($Q16="Direvisi",$A16,"")</f>
        <v/>
      </c>
      <c r="V16" s="36" t="str">
        <f aca="false">IF($Q16="Diganti/Dibuang",$A16,"")</f>
        <v/>
      </c>
    </row>
    <row r="17" customFormat="false" ht="15" hidden="false" customHeight="true" outlineLevel="0" collapsed="false">
      <c r="A17" s="16" t="n">
        <v>12</v>
      </c>
      <c r="B17" s="16" t="str">
        <f aca="false">IF(KUNCI!B17="","",UPPER(KUNCI!B17))</f>
        <v>C</v>
      </c>
      <c r="C17" s="16" t="n">
        <f aca="false">IF($B17="","",SUM(SKOR!$P$6:$P$55))</f>
        <v>18</v>
      </c>
      <c r="D17" s="16" t="n">
        <f aca="false">IF($B17="","",N_SISWA-C17)</f>
        <v>13</v>
      </c>
      <c r="E17" s="31" t="n">
        <f aca="false">IF($B17="","",IFERROR(C17/N_SISWA,""))</f>
        <v>0.580645161290323</v>
      </c>
      <c r="F17" s="16" t="str">
        <f aca="false">IF(E17="","",IF(E17&lt;=BATAS_SUKAR,"Sukar",IF(E17&lt;=BATAS_MUDAH,"Sedang","Mudah")))</f>
        <v>Sedang</v>
      </c>
      <c r="G17" s="16" t="n">
        <f aca="false">IF($B17="","",SUMIFS(SKOR!$P$6:$P$55,SKOR!$AW$6:$AW$55,"&lt;="&amp;N_GRUP))</f>
        <v>7</v>
      </c>
      <c r="H17" s="16" t="n">
        <f aca="false">IF($B17="","",SUMIFS(SKOR!$P$6:$P$55,SKOR!$AW$6:$AW$55,"&gt;"&amp;(N_SISWA-N_GRUP)))</f>
        <v>3</v>
      </c>
      <c r="I17" s="31" t="n">
        <f aca="false">IF($B17="","",IFERROR((G17-H17)/N_GRUP,""))</f>
        <v>0.5</v>
      </c>
      <c r="J17" s="16" t="str">
        <f aca="false">IF(I17="","",IF(I17&lt;0,"Sangat jelek",IF(I17&lt;=DP_B1,"Jelek",IF(I17&lt;=DP_B2,"Cukup",IF(I17&lt;=DP_B3,"Baik","Baik sekali")))))</f>
        <v>Baik</v>
      </c>
      <c r="K17" s="31" t="n">
        <f aca="false">IF(OR($B17="",C17=0),"",SUMIFS(SKOR!$AS$6:$AS$55,SKOR!$P$6:$P$55,1)/C17)</f>
        <v>26.2777777777778</v>
      </c>
      <c r="L17" s="34" t="n">
        <f aca="false">IF(K17="","",IFERROR((K17-MEAN_SKOR)/SD_SKOR*SQRT(E17/(1-E17)),""))</f>
        <v>0.476325667893942</v>
      </c>
      <c r="M17" s="34" t="n">
        <f aca="false">IF($B17="","",R_TABEL)</f>
        <v>0.355045889177768</v>
      </c>
      <c r="N17" s="16" t="str">
        <f aca="false">IF($B17="","",IF(L17="","Tidak valid",IF(L17&gt;M17,"Valid","Tidak valid")))</f>
        <v>Valid</v>
      </c>
      <c r="O17" s="34" t="n">
        <f aca="false">IF($B17="","",E17*(1-E17))</f>
        <v>0.243496357960458</v>
      </c>
      <c r="P17" s="16" t="n">
        <f aca="false">IF($B17="","",PENGECOH!T17)</f>
        <v>2</v>
      </c>
      <c r="Q17" s="16" t="str">
        <f aca="false">IF($B17="","",IF(AND(ISNUMBER(I17),I17&lt;0),"Diganti/Dibuang",IF((N17="Valid")+AND(ISNUMBER(I17),I17&gt;DP_B1)+(F17="Sedang")=3,"Diterima",IF((N17="Valid")+AND(ISNUMBER(I17),I17&gt;DP_B1)+(F17="Sedang")=2,"Direvisi","Diganti/Dibuang"))))</f>
        <v>Diterima</v>
      </c>
      <c r="R17" s="35" t="str">
        <f aca="false">IF($B17="","",IF(AND(Q17="Diterima",P17=3),"Soal baik; dapat disimpan di bank soal",TRIM(IF(F17="Sukar","Terlalu sukar. ",IF(F17="Mudah","Terlalu mudah. ",""))&amp;IF(N17&lt;&gt;"Valid","Validitas rendah. ","")&amp;IF(AND(ISNUMBER(I17),I17&lt;0),"Daya pembeda negatif (periksa kunci). ",IF(AND(ISNUMBER(I17),I17&gt;DP_B1),"","Daya pembeda rendah. "))&amp;IF(P17&lt;3,"Ada pengecoh tidak berfungsi.",""))))</f>
        <v>Ada pengecoh tidak berfungsi.</v>
      </c>
      <c r="S17" s="35" t="str">
        <f aca="false">IF(KUNCI!C17="","",KUNCI!C17)</f>
        <v/>
      </c>
      <c r="T17" s="36" t="n">
        <f aca="false">IF($Q17="Diterima",$A17,"")</f>
        <v>12</v>
      </c>
      <c r="U17" s="36" t="str">
        <f aca="false">IF($Q17="Direvisi",$A17,"")</f>
        <v/>
      </c>
      <c r="V17" s="36" t="str">
        <f aca="false">IF($Q17="Diganti/Dibuang",$A17,"")</f>
        <v/>
      </c>
    </row>
    <row r="18" customFormat="false" ht="15" hidden="false" customHeight="true" outlineLevel="0" collapsed="false">
      <c r="A18" s="16" t="n">
        <v>13</v>
      </c>
      <c r="B18" s="16" t="str">
        <f aca="false">IF(KUNCI!B18="","",UPPER(KUNCI!B18))</f>
        <v>D</v>
      </c>
      <c r="C18" s="16" t="n">
        <f aca="false">IF($B18="","",SUM(SKOR!$Q$6:$Q$55))</f>
        <v>21</v>
      </c>
      <c r="D18" s="16" t="n">
        <f aca="false">IF($B18="","",N_SISWA-C18)</f>
        <v>10</v>
      </c>
      <c r="E18" s="31" t="n">
        <f aca="false">IF($B18="","",IFERROR(C18/N_SISWA,""))</f>
        <v>0.67741935483871</v>
      </c>
      <c r="F18" s="16" t="str">
        <f aca="false">IF(E18="","",IF(E18&lt;=BATAS_SUKAR,"Sukar",IF(E18&lt;=BATAS_MUDAH,"Sedang","Mudah")))</f>
        <v>Sedang</v>
      </c>
      <c r="G18" s="16" t="n">
        <f aca="false">IF($B18="","",SUMIFS(SKOR!$Q$6:$Q$55,SKOR!$AW$6:$AW$55,"&lt;="&amp;N_GRUP))</f>
        <v>6</v>
      </c>
      <c r="H18" s="16" t="n">
        <f aca="false">IF($B18="","",SUMIFS(SKOR!$Q$6:$Q$55,SKOR!$AW$6:$AW$55,"&gt;"&amp;(N_SISWA-N_GRUP)))</f>
        <v>7</v>
      </c>
      <c r="I18" s="31" t="n">
        <f aca="false">IF($B18="","",IFERROR((G18-H18)/N_GRUP,""))</f>
        <v>-0.125</v>
      </c>
      <c r="J18" s="16" t="str">
        <f aca="false">IF(I18="","",IF(I18&lt;0,"Sangat jelek",IF(I18&lt;=DP_B1,"Jelek",IF(I18&lt;=DP_B2,"Cukup",IF(I18&lt;=DP_B3,"Baik","Baik sekali")))))</f>
        <v>Sangat jelek</v>
      </c>
      <c r="K18" s="31" t="n">
        <f aca="false">IF(OR($B18="",C18=0),"",SUMIFS(SKOR!$AS$6:$AS$55,SKOR!$Q$6:$Q$55,1)/C18)</f>
        <v>23.4761904761905</v>
      </c>
      <c r="L18" s="34" t="n">
        <f aca="false">IF(K18="","",IFERROR((K18-MEAN_SKOR)/SD_SKOR*SQRT(E18/(1-E18)),""))</f>
        <v>-0.10549483180942</v>
      </c>
      <c r="M18" s="34" t="n">
        <f aca="false">IF($B18="","",R_TABEL)</f>
        <v>0.355045889177768</v>
      </c>
      <c r="N18" s="16" t="str">
        <f aca="false">IF($B18="","",IF(L18="","Tidak valid",IF(L18&gt;M18,"Valid","Tidak valid")))</f>
        <v>Tidak valid</v>
      </c>
      <c r="O18" s="34" t="n">
        <f aca="false">IF($B18="","",E18*(1-E18))</f>
        <v>0.218522372528616</v>
      </c>
      <c r="P18" s="16" t="n">
        <f aca="false">IF($B18="","",PENGECOH!T18)</f>
        <v>3</v>
      </c>
      <c r="Q18" s="16" t="str">
        <f aca="false">IF($B18="","",IF(AND(ISNUMBER(I18),I18&lt;0),"Diganti/Dibuang",IF((N18="Valid")+AND(ISNUMBER(I18),I18&gt;DP_B1)+(F18="Sedang")=3,"Diterima",IF((N18="Valid")+AND(ISNUMBER(I18),I18&gt;DP_B1)+(F18="Sedang")=2,"Direvisi","Diganti/Dibuang"))))</f>
        <v>Diganti/Dibuang</v>
      </c>
      <c r="R18" s="35" t="str">
        <f aca="false">IF($B18="","",IF(AND(Q18="Diterima",P18=3),"Soal baik; dapat disimpan di bank soal",TRIM(IF(F18="Sukar","Terlalu sukar. ",IF(F18="Mudah","Terlalu mudah. ",""))&amp;IF(N18&lt;&gt;"Valid","Validitas rendah. ","")&amp;IF(AND(ISNUMBER(I18),I18&lt;0),"Daya pembeda negatif (periksa kunci). ",IF(AND(ISNUMBER(I18),I18&gt;DP_B1),"","Daya pembeda rendah. "))&amp;IF(P18&lt;3,"Ada pengecoh tidak berfungsi.",""))))</f>
        <v>Validitas rendah. Daya pembeda negatif (periksa kunci).</v>
      </c>
      <c r="S18" s="35" t="str">
        <f aca="false">IF(KUNCI!C18="","",KUNCI!C18)</f>
        <v/>
      </c>
      <c r="T18" s="36" t="str">
        <f aca="false">IF($Q18="Diterima",$A18,"")</f>
        <v/>
      </c>
      <c r="U18" s="36" t="str">
        <f aca="false">IF($Q18="Direvisi",$A18,"")</f>
        <v/>
      </c>
      <c r="V18" s="36" t="n">
        <f aca="false">IF($Q18="Diganti/Dibuang",$A18,"")</f>
        <v>13</v>
      </c>
    </row>
    <row r="19" customFormat="false" ht="15" hidden="false" customHeight="true" outlineLevel="0" collapsed="false">
      <c r="A19" s="16" t="n">
        <v>14</v>
      </c>
      <c r="B19" s="16" t="str">
        <f aca="false">IF(KUNCI!B19="","",UPPER(KUNCI!B19))</f>
        <v>A</v>
      </c>
      <c r="C19" s="16" t="n">
        <f aca="false">IF($B19="","",SUM(SKOR!$R$6:$R$55))</f>
        <v>18</v>
      </c>
      <c r="D19" s="16" t="n">
        <f aca="false">IF($B19="","",N_SISWA-C19)</f>
        <v>13</v>
      </c>
      <c r="E19" s="31" t="n">
        <f aca="false">IF($B19="","",IFERROR(C19/N_SISWA,""))</f>
        <v>0.580645161290323</v>
      </c>
      <c r="F19" s="16" t="str">
        <f aca="false">IF(E19="","",IF(E19&lt;=BATAS_SUKAR,"Sukar",IF(E19&lt;=BATAS_MUDAH,"Sedang","Mudah")))</f>
        <v>Sedang</v>
      </c>
      <c r="G19" s="16" t="n">
        <f aca="false">IF($B19="","",SUMIFS(SKOR!$R$6:$R$55,SKOR!$AW$6:$AW$55,"&lt;="&amp;N_GRUP))</f>
        <v>6</v>
      </c>
      <c r="H19" s="16" t="n">
        <f aca="false">IF($B19="","",SUMIFS(SKOR!$R$6:$R$55,SKOR!$AW$6:$AW$55,"&gt;"&amp;(N_SISWA-N_GRUP)))</f>
        <v>3</v>
      </c>
      <c r="I19" s="31" t="n">
        <f aca="false">IF($B19="","",IFERROR((G19-H19)/N_GRUP,""))</f>
        <v>0.375</v>
      </c>
      <c r="J19" s="16" t="str">
        <f aca="false">IF(I19="","",IF(I19&lt;0,"Sangat jelek",IF(I19&lt;=DP_B1,"Jelek",IF(I19&lt;=DP_B2,"Cukup",IF(I19&lt;=DP_B3,"Baik","Baik sekali")))))</f>
        <v>Cukup</v>
      </c>
      <c r="K19" s="31" t="n">
        <f aca="false">IF(OR($B19="",C19=0),"",SUMIFS(SKOR!$AS$6:$AS$55,SKOR!$R$6:$R$55,1)/C19)</f>
        <v>25.8333333333333</v>
      </c>
      <c r="L19" s="34" t="n">
        <f aca="false">IF(K19="","",IFERROR((K19-MEAN_SKOR)/SD_SKOR*SQRT(E19/(1-E19)),""))</f>
        <v>0.387171882507</v>
      </c>
      <c r="M19" s="34" t="n">
        <f aca="false">IF($B19="","",R_TABEL)</f>
        <v>0.355045889177768</v>
      </c>
      <c r="N19" s="16" t="str">
        <f aca="false">IF($B19="","",IF(L19="","Tidak valid",IF(L19&gt;M19,"Valid","Tidak valid")))</f>
        <v>Valid</v>
      </c>
      <c r="O19" s="34" t="n">
        <f aca="false">IF($B19="","",E19*(1-E19))</f>
        <v>0.243496357960458</v>
      </c>
      <c r="P19" s="16" t="n">
        <f aca="false">IF($B19="","",PENGECOH!T19)</f>
        <v>3</v>
      </c>
      <c r="Q19" s="16" t="str">
        <f aca="false">IF($B19="","",IF(AND(ISNUMBER(I19),I19&lt;0),"Diganti/Dibuang",IF((N19="Valid")+AND(ISNUMBER(I19),I19&gt;DP_B1)+(F19="Sedang")=3,"Diterima",IF((N19="Valid")+AND(ISNUMBER(I19),I19&gt;DP_B1)+(F19="Sedang")=2,"Direvisi","Diganti/Dibuang"))))</f>
        <v>Diterima</v>
      </c>
      <c r="R19" s="35" t="str">
        <f aca="false">IF($B19="","",IF(AND(Q19="Diterima",P19=3),"Soal baik; dapat disimpan di bank soal",TRIM(IF(F19="Sukar","Terlalu sukar. ",IF(F19="Mudah","Terlalu mudah. ",""))&amp;IF(N19&lt;&gt;"Valid","Validitas rendah. ","")&amp;IF(AND(ISNUMBER(I19),I19&lt;0),"Daya pembeda negatif (periksa kunci). ",IF(AND(ISNUMBER(I19),I19&gt;DP_B1),"","Daya pembeda rendah. "))&amp;IF(P19&lt;3,"Ada pengecoh tidak berfungsi.",""))))</f>
        <v>Soal baik; dapat disimpan di bank soal</v>
      </c>
      <c r="S19" s="35" t="str">
        <f aca="false">IF(KUNCI!C19="","",KUNCI!C19)</f>
        <v/>
      </c>
      <c r="T19" s="36" t="n">
        <f aca="false">IF($Q19="Diterima",$A19,"")</f>
        <v>14</v>
      </c>
      <c r="U19" s="36" t="str">
        <f aca="false">IF($Q19="Direvisi",$A19,"")</f>
        <v/>
      </c>
      <c r="V19" s="36" t="str">
        <f aca="false">IF($Q19="Diganti/Dibuang",$A19,"")</f>
        <v/>
      </c>
    </row>
    <row r="20" customFormat="false" ht="15" hidden="false" customHeight="true" outlineLevel="0" collapsed="false">
      <c r="A20" s="16" t="n">
        <v>15</v>
      </c>
      <c r="B20" s="16" t="str">
        <f aca="false">IF(KUNCI!B20="","",UPPER(KUNCI!B20))</f>
        <v>B</v>
      </c>
      <c r="C20" s="16" t="n">
        <f aca="false">IF($B20="","",SUM(SKOR!$S$6:$S$55))</f>
        <v>16</v>
      </c>
      <c r="D20" s="16" t="n">
        <f aca="false">IF($B20="","",N_SISWA-C20)</f>
        <v>15</v>
      </c>
      <c r="E20" s="31" t="n">
        <f aca="false">IF($B20="","",IFERROR(C20/N_SISWA,""))</f>
        <v>0.516129032258065</v>
      </c>
      <c r="F20" s="16" t="str">
        <f aca="false">IF(E20="","",IF(E20&lt;=BATAS_SUKAR,"Sukar",IF(E20&lt;=BATAS_MUDAH,"Sedang","Mudah")))</f>
        <v>Sedang</v>
      </c>
      <c r="G20" s="16" t="n">
        <f aca="false">IF($B20="","",SUMIFS(SKOR!$S$6:$S$55,SKOR!$AW$6:$AW$55,"&lt;="&amp;N_GRUP))</f>
        <v>8</v>
      </c>
      <c r="H20" s="16" t="n">
        <f aca="false">IF($B20="","",SUMIFS(SKOR!$S$6:$S$55,SKOR!$AW$6:$AW$55,"&gt;"&amp;(N_SISWA-N_GRUP)))</f>
        <v>1</v>
      </c>
      <c r="I20" s="31" t="n">
        <f aca="false">IF($B20="","",IFERROR((G20-H20)/N_GRUP,""))</f>
        <v>0.875</v>
      </c>
      <c r="J20" s="16" t="str">
        <f aca="false">IF(I20="","",IF(I20&lt;0,"Sangat jelek",IF(I20&lt;=DP_B1,"Jelek",IF(I20&lt;=DP_B2,"Cukup",IF(I20&lt;=DP_B3,"Baik","Baik sekali")))))</f>
        <v>Baik sekali</v>
      </c>
      <c r="K20" s="31" t="n">
        <f aca="false">IF(OR($B20="",C20=0),"",SUMIFS(SKOR!$AS$6:$AS$55,SKOR!$S$6:$S$55,1)/C20)</f>
        <v>27.4375</v>
      </c>
      <c r="L20" s="34" t="n">
        <f aca="false">IF(K20="","",IFERROR((K20-MEAN_SKOR)/SD_SKOR*SQRT(E20/(1-E20)),""))</f>
        <v>0.622260639196002</v>
      </c>
      <c r="M20" s="34" t="n">
        <f aca="false">IF($B20="","",R_TABEL)</f>
        <v>0.355045889177768</v>
      </c>
      <c r="N20" s="16" t="str">
        <f aca="false">IF($B20="","",IF(L20="","Tidak valid",IF(L20&gt;M20,"Valid","Tidak valid")))</f>
        <v>Valid</v>
      </c>
      <c r="O20" s="34" t="n">
        <f aca="false">IF($B20="","",E20*(1-E20))</f>
        <v>0.249739854318418</v>
      </c>
      <c r="P20" s="16" t="n">
        <f aca="false">IF($B20="","",PENGECOH!T20)</f>
        <v>3</v>
      </c>
      <c r="Q20" s="16" t="str">
        <f aca="false">IF($B20="","",IF(AND(ISNUMBER(I20),I20&lt;0),"Diganti/Dibuang",IF((N20="Valid")+AND(ISNUMBER(I20),I20&gt;DP_B1)+(F20="Sedang")=3,"Diterima",IF((N20="Valid")+AND(ISNUMBER(I20),I20&gt;DP_B1)+(F20="Sedang")=2,"Direvisi","Diganti/Dibuang"))))</f>
        <v>Diterima</v>
      </c>
      <c r="R20" s="35" t="str">
        <f aca="false">IF($B20="","",IF(AND(Q20="Diterima",P20=3),"Soal baik; dapat disimpan di bank soal",TRIM(IF(F20="Sukar","Terlalu sukar. ",IF(F20="Mudah","Terlalu mudah. ",""))&amp;IF(N20&lt;&gt;"Valid","Validitas rendah. ","")&amp;IF(AND(ISNUMBER(I20),I20&lt;0),"Daya pembeda negatif (periksa kunci). ",IF(AND(ISNUMBER(I20),I20&gt;DP_B1),"","Daya pembeda rendah. "))&amp;IF(P20&lt;3,"Ada pengecoh tidak berfungsi.",""))))</f>
        <v>Soal baik; dapat disimpan di bank soal</v>
      </c>
      <c r="S20" s="35" t="str">
        <f aca="false">IF(KUNCI!C20="","",KUNCI!C20)</f>
        <v/>
      </c>
      <c r="T20" s="36" t="n">
        <f aca="false">IF($Q20="Diterima",$A20,"")</f>
        <v>15</v>
      </c>
      <c r="U20" s="36" t="str">
        <f aca="false">IF($Q20="Direvisi",$A20,"")</f>
        <v/>
      </c>
      <c r="V20" s="36" t="str">
        <f aca="false">IF($Q20="Diganti/Dibuang",$A20,"")</f>
        <v/>
      </c>
    </row>
    <row r="21" customFormat="false" ht="23.25" hidden="false" customHeight="true" outlineLevel="0" collapsed="false">
      <c r="A21" s="16" t="n">
        <v>16</v>
      </c>
      <c r="B21" s="16" t="str">
        <f aca="false">IF(KUNCI!B21="","",UPPER(KUNCI!B21))</f>
        <v>C</v>
      </c>
      <c r="C21" s="16" t="n">
        <f aca="false">IF($B21="","",SUM(SKOR!$T$6:$T$55))</f>
        <v>17</v>
      </c>
      <c r="D21" s="16" t="n">
        <f aca="false">IF($B21="","",N_SISWA-C21)</f>
        <v>14</v>
      </c>
      <c r="E21" s="31" t="n">
        <f aca="false">IF($B21="","",IFERROR(C21/N_SISWA,""))</f>
        <v>0.548387096774194</v>
      </c>
      <c r="F21" s="16" t="str">
        <f aca="false">IF(E21="","",IF(E21&lt;=BATAS_SUKAR,"Sukar",IF(E21&lt;=BATAS_MUDAH,"Sedang","Mudah")))</f>
        <v>Sedang</v>
      </c>
      <c r="G21" s="16" t="n">
        <f aca="false">IF($B21="","",SUMIFS(SKOR!$T$6:$T$55,SKOR!$AW$6:$AW$55,"&lt;="&amp;N_GRUP))</f>
        <v>7</v>
      </c>
      <c r="H21" s="16" t="n">
        <f aca="false">IF($B21="","",SUMIFS(SKOR!$T$6:$T$55,SKOR!$AW$6:$AW$55,"&gt;"&amp;(N_SISWA-N_GRUP)))</f>
        <v>3</v>
      </c>
      <c r="I21" s="31" t="n">
        <f aca="false">IF($B21="","",IFERROR((G21-H21)/N_GRUP,""))</f>
        <v>0.5</v>
      </c>
      <c r="J21" s="16" t="str">
        <f aca="false">IF(I21="","",IF(I21&lt;0,"Sangat jelek",IF(I21&lt;=DP_B1,"Jelek",IF(I21&lt;=DP_B2,"Cukup",IF(I21&lt;=DP_B3,"Baik","Baik sekali")))))</f>
        <v>Baik</v>
      </c>
      <c r="K21" s="31" t="n">
        <f aca="false">IF(OR($B21="",C21=0),"",SUMIFS(SKOR!$AS$6:$AS$55,SKOR!$T$6:$T$55,1)/C21)</f>
        <v>26.1176470588235</v>
      </c>
      <c r="L21" s="34" t="n">
        <f aca="false">IF(K21="","",IFERROR((K21-MEAN_SKOR)/SD_SKOR*SQRT(E21/(1-E21)),""))</f>
        <v>0.415985711055337</v>
      </c>
      <c r="M21" s="34" t="n">
        <f aca="false">IF($B21="","",R_TABEL)</f>
        <v>0.355045889177768</v>
      </c>
      <c r="N21" s="16" t="str">
        <f aca="false">IF($B21="","",IF(L21="","Tidak valid",IF(L21&gt;M21,"Valid","Tidak valid")))</f>
        <v>Valid</v>
      </c>
      <c r="O21" s="34" t="n">
        <f aca="false">IF($B21="","",E21*(1-E21))</f>
        <v>0.247658688865765</v>
      </c>
      <c r="P21" s="16" t="n">
        <f aca="false">IF($B21="","",PENGECOH!T21)</f>
        <v>3</v>
      </c>
      <c r="Q21" s="16" t="str">
        <f aca="false">IF($B21="","",IF(AND(ISNUMBER(I21),I21&lt;0),"Diganti/Dibuang",IF((N21="Valid")+AND(ISNUMBER(I21),I21&gt;DP_B1)+(F21="Sedang")=3,"Diterima",IF((N21="Valid")+AND(ISNUMBER(I21),I21&gt;DP_B1)+(F21="Sedang")=2,"Direvisi","Diganti/Dibuang"))))</f>
        <v>Diterima</v>
      </c>
      <c r="R21" s="35" t="str">
        <f aca="false">IF($B21="","",IF(AND(Q21="Diterima",P21=3),"Soal baik; dapat disimpan di bank soal",TRIM(IF(F21="Sukar","Terlalu sukar. ",IF(F21="Mudah","Terlalu mudah. ",""))&amp;IF(N21&lt;&gt;"Valid","Validitas rendah. ","")&amp;IF(AND(ISNUMBER(I21),I21&lt;0),"Daya pembeda negatif (periksa kunci). ",IF(AND(ISNUMBER(I21),I21&gt;DP_B1),"","Daya pembeda rendah. "))&amp;IF(P21&lt;3,"Ada pengecoh tidak berfungsi.",""))))</f>
        <v>Soal baik; dapat disimpan di bank soal</v>
      </c>
      <c r="S21" s="35" t="str">
        <f aca="false">IF(KUNCI!C21="","",KUNCI!C21)</f>
        <v/>
      </c>
      <c r="T21" s="36" t="n">
        <f aca="false">IF($Q21="Diterima",$A21,"")</f>
        <v>16</v>
      </c>
      <c r="U21" s="36" t="str">
        <f aca="false">IF($Q21="Direvisi",$A21,"")</f>
        <v/>
      </c>
      <c r="V21" s="36" t="str">
        <f aca="false">IF($Q21="Diganti/Dibuang",$A21,"")</f>
        <v/>
      </c>
    </row>
    <row r="22" customFormat="false" ht="15" hidden="false" customHeight="true" outlineLevel="0" collapsed="false">
      <c r="A22" s="16" t="n">
        <v>17</v>
      </c>
      <c r="B22" s="16" t="str">
        <f aca="false">IF(KUNCI!B22="","",UPPER(KUNCI!B22))</f>
        <v>C</v>
      </c>
      <c r="C22" s="16" t="n">
        <f aca="false">IF($B22="","",SUM(SKOR!$U$6:$U$55))</f>
        <v>14</v>
      </c>
      <c r="D22" s="16" t="n">
        <f aca="false">IF($B22="","",N_SISWA-C22)</f>
        <v>17</v>
      </c>
      <c r="E22" s="31" t="n">
        <f aca="false">IF($B22="","",IFERROR(C22/N_SISWA,""))</f>
        <v>0.451612903225806</v>
      </c>
      <c r="F22" s="16" t="str">
        <f aca="false">IF(E22="","",IF(E22&lt;=BATAS_SUKAR,"Sukar",IF(E22&lt;=BATAS_MUDAH,"Sedang","Mudah")))</f>
        <v>Sedang</v>
      </c>
      <c r="G22" s="16" t="n">
        <f aca="false">IF($B22="","",SUMIFS(SKOR!$U$6:$U$55,SKOR!$AW$6:$AW$55,"&lt;="&amp;N_GRUP))</f>
        <v>4</v>
      </c>
      <c r="H22" s="16" t="n">
        <f aca="false">IF($B22="","",SUMIFS(SKOR!$U$6:$U$55,SKOR!$AW$6:$AW$55,"&gt;"&amp;(N_SISWA-N_GRUP)))</f>
        <v>4</v>
      </c>
      <c r="I22" s="31" t="n">
        <f aca="false">IF($B22="","",IFERROR((G22-H22)/N_GRUP,""))</f>
        <v>0</v>
      </c>
      <c r="J22" s="16" t="str">
        <f aca="false">IF(I22="","",IF(I22&lt;0,"Sangat jelek",IF(I22&lt;=DP_B1,"Jelek",IF(I22&lt;=DP_B2,"Cukup",IF(I22&lt;=DP_B3,"Baik","Baik sekali")))))</f>
        <v>Jelek</v>
      </c>
      <c r="K22" s="31" t="n">
        <f aca="false">IF(OR($B22="",C22=0),"",SUMIFS(SKOR!$AS$6:$AS$55,SKOR!$U$6:$U$55,1)/C22)</f>
        <v>24.4285714285714</v>
      </c>
      <c r="L22" s="34" t="n">
        <f aca="false">IF(K22="","",IFERROR((K22-MEAN_SKOR)/SD_SKOR*SQRT(E22/(1-E22)),""))</f>
        <v>0.0812722725969295</v>
      </c>
      <c r="M22" s="34" t="n">
        <f aca="false">IF($B22="","",R_TABEL)</f>
        <v>0.355045889177768</v>
      </c>
      <c r="N22" s="16" t="str">
        <f aca="false">IF($B22="","",IF(L22="","Tidak valid",IF(L22&gt;M22,"Valid","Tidak valid")))</f>
        <v>Tidak valid</v>
      </c>
      <c r="O22" s="34" t="n">
        <f aca="false">IF($B22="","",E22*(1-E22))</f>
        <v>0.247658688865765</v>
      </c>
      <c r="P22" s="16" t="n">
        <f aca="false">IF($B22="","",PENGECOH!T22)</f>
        <v>3</v>
      </c>
      <c r="Q22" s="16" t="str">
        <f aca="false">IF($B22="","",IF(AND(ISNUMBER(I22),I22&lt;0),"Diganti/Dibuang",IF((N22="Valid")+AND(ISNUMBER(I22),I22&gt;DP_B1)+(F22="Sedang")=3,"Diterima",IF((N22="Valid")+AND(ISNUMBER(I22),I22&gt;DP_B1)+(F22="Sedang")=2,"Direvisi","Diganti/Dibuang"))))</f>
        <v>Diganti/Dibuang</v>
      </c>
      <c r="R22" s="35" t="str">
        <f aca="false">IF($B22="","",IF(AND(Q22="Diterima",P22=3),"Soal baik; dapat disimpan di bank soal",TRIM(IF(F22="Sukar","Terlalu sukar. ",IF(F22="Mudah","Terlalu mudah. ",""))&amp;IF(N22&lt;&gt;"Valid","Validitas rendah. ","")&amp;IF(AND(ISNUMBER(I22),I22&lt;0),"Daya pembeda negatif (periksa kunci). ",IF(AND(ISNUMBER(I22),I22&gt;DP_B1),"","Daya pembeda rendah. "))&amp;IF(P22&lt;3,"Ada pengecoh tidak berfungsi.",""))))</f>
        <v>Validitas rendah. Daya pembeda rendah.</v>
      </c>
      <c r="S22" s="35" t="str">
        <f aca="false">IF(KUNCI!C22="","",KUNCI!C22)</f>
        <v/>
      </c>
      <c r="T22" s="36" t="str">
        <f aca="false">IF($Q22="Diterima",$A22,"")</f>
        <v/>
      </c>
      <c r="U22" s="36" t="str">
        <f aca="false">IF($Q22="Direvisi",$A22,"")</f>
        <v/>
      </c>
      <c r="V22" s="36" t="n">
        <f aca="false">IF($Q22="Diganti/Dibuang",$A22,"")</f>
        <v>17</v>
      </c>
    </row>
    <row r="23" customFormat="false" ht="15" hidden="false" customHeight="true" outlineLevel="0" collapsed="false">
      <c r="A23" s="16" t="n">
        <v>18</v>
      </c>
      <c r="B23" s="16" t="str">
        <f aca="false">IF(KUNCI!B23="","",UPPER(KUNCI!B23))</f>
        <v>A</v>
      </c>
      <c r="C23" s="16" t="n">
        <f aca="false">IF($B23="","",SUM(SKOR!$V$6:$V$55))</f>
        <v>15</v>
      </c>
      <c r="D23" s="16" t="n">
        <f aca="false">IF($B23="","",N_SISWA-C23)</f>
        <v>16</v>
      </c>
      <c r="E23" s="31" t="n">
        <f aca="false">IF($B23="","",IFERROR(C23/N_SISWA,""))</f>
        <v>0.483870967741936</v>
      </c>
      <c r="F23" s="16" t="str">
        <f aca="false">IF(E23="","",IF(E23&lt;=BATAS_SUKAR,"Sukar",IF(E23&lt;=BATAS_MUDAH,"Sedang","Mudah")))</f>
        <v>Sedang</v>
      </c>
      <c r="G23" s="16" t="n">
        <f aca="false">IF($B23="","",SUMIFS(SKOR!$V$6:$V$55,SKOR!$AW$6:$AW$55,"&lt;="&amp;N_GRUP))</f>
        <v>7</v>
      </c>
      <c r="H23" s="16" t="n">
        <f aca="false">IF($B23="","",SUMIFS(SKOR!$V$6:$V$55,SKOR!$AW$6:$AW$55,"&gt;"&amp;(N_SISWA-N_GRUP)))</f>
        <v>3</v>
      </c>
      <c r="I23" s="31" t="n">
        <f aca="false">IF($B23="","",IFERROR((G23-H23)/N_GRUP,""))</f>
        <v>0.5</v>
      </c>
      <c r="J23" s="16" t="str">
        <f aca="false">IF(I23="","",IF(I23&lt;0,"Sangat jelek",IF(I23&lt;=DP_B1,"Jelek",IF(I23&lt;=DP_B2,"Cukup",IF(I23&lt;=DP_B3,"Baik","Baik sekali")))))</f>
        <v>Baik</v>
      </c>
      <c r="K23" s="31" t="n">
        <f aca="false">IF(OR($B23="",C23=0),"",SUMIFS(SKOR!$AS$6:$AS$55,SKOR!$V$6:$V$55,1)/C23)</f>
        <v>26.8</v>
      </c>
      <c r="L23" s="34" t="n">
        <f aca="false">IF(K23="","",IFERROR((K23-MEAN_SKOR)/SD_SKOR*SQRT(E23/(1-E23)),""))</f>
        <v>0.478143229319461</v>
      </c>
      <c r="M23" s="34" t="n">
        <f aca="false">IF($B23="","",R_TABEL)</f>
        <v>0.355045889177768</v>
      </c>
      <c r="N23" s="16" t="str">
        <f aca="false">IF($B23="","",IF(L23="","Tidak valid",IF(L23&gt;M23,"Valid","Tidak valid")))</f>
        <v>Valid</v>
      </c>
      <c r="O23" s="34" t="n">
        <f aca="false">IF($B23="","",E23*(1-E23))</f>
        <v>0.249739854318418</v>
      </c>
      <c r="P23" s="16" t="n">
        <f aca="false">IF($B23="","",PENGECOH!T23)</f>
        <v>3</v>
      </c>
      <c r="Q23" s="16" t="str">
        <f aca="false">IF($B23="","",IF(AND(ISNUMBER(I23),I23&lt;0),"Diganti/Dibuang",IF((N23="Valid")+AND(ISNUMBER(I23),I23&gt;DP_B1)+(F23="Sedang")=3,"Diterima",IF((N23="Valid")+AND(ISNUMBER(I23),I23&gt;DP_B1)+(F23="Sedang")=2,"Direvisi","Diganti/Dibuang"))))</f>
        <v>Diterima</v>
      </c>
      <c r="R23" s="35" t="str">
        <f aca="false">IF($B23="","",IF(AND(Q23="Diterima",P23=3),"Soal baik; dapat disimpan di bank soal",TRIM(IF(F23="Sukar","Terlalu sukar. ",IF(F23="Mudah","Terlalu mudah. ",""))&amp;IF(N23&lt;&gt;"Valid","Validitas rendah. ","")&amp;IF(AND(ISNUMBER(I23),I23&lt;0),"Daya pembeda negatif (periksa kunci). ",IF(AND(ISNUMBER(I23),I23&gt;DP_B1),"","Daya pembeda rendah. "))&amp;IF(P23&lt;3,"Ada pengecoh tidak berfungsi.",""))))</f>
        <v>Soal baik; dapat disimpan di bank soal</v>
      </c>
      <c r="S23" s="35" t="str">
        <f aca="false">IF(KUNCI!C23="","",KUNCI!C23)</f>
        <v/>
      </c>
      <c r="T23" s="36" t="n">
        <f aca="false">IF($Q23="Diterima",$A23,"")</f>
        <v>18</v>
      </c>
      <c r="U23" s="36" t="str">
        <f aca="false">IF($Q23="Direvisi",$A23,"")</f>
        <v/>
      </c>
      <c r="V23" s="36" t="str">
        <f aca="false">IF($Q23="Diganti/Dibuang",$A23,"")</f>
        <v/>
      </c>
    </row>
    <row r="24" customFormat="false" ht="15" hidden="false" customHeight="true" outlineLevel="0" collapsed="false">
      <c r="A24" s="16" t="n">
        <v>19</v>
      </c>
      <c r="B24" s="16" t="str">
        <f aca="false">IF(KUNCI!B24="","",UPPER(KUNCI!B24))</f>
        <v>C</v>
      </c>
      <c r="C24" s="16" t="n">
        <f aca="false">IF($B24="","",SUM(SKOR!$W$6:$W$55))</f>
        <v>18</v>
      </c>
      <c r="D24" s="16" t="n">
        <f aca="false">IF($B24="","",N_SISWA-C24)</f>
        <v>13</v>
      </c>
      <c r="E24" s="31" t="n">
        <f aca="false">IF($B24="","",IFERROR(C24/N_SISWA,""))</f>
        <v>0.580645161290323</v>
      </c>
      <c r="F24" s="16" t="str">
        <f aca="false">IF(E24="","",IF(E24&lt;=BATAS_SUKAR,"Sukar",IF(E24&lt;=BATAS_MUDAH,"Sedang","Mudah")))</f>
        <v>Sedang</v>
      </c>
      <c r="G24" s="16" t="n">
        <f aca="false">IF($B24="","",SUMIFS(SKOR!$W$6:$W$55,SKOR!$AW$6:$AW$55,"&lt;="&amp;N_GRUP))</f>
        <v>6</v>
      </c>
      <c r="H24" s="16" t="n">
        <f aca="false">IF($B24="","",SUMIFS(SKOR!$W$6:$W$55,SKOR!$AW$6:$AW$55,"&gt;"&amp;(N_SISWA-N_GRUP)))</f>
        <v>5</v>
      </c>
      <c r="I24" s="31" t="n">
        <f aca="false">IF($B24="","",IFERROR((G24-H24)/N_GRUP,""))</f>
        <v>0.125</v>
      </c>
      <c r="J24" s="16" t="str">
        <f aca="false">IF(I24="","",IF(I24&lt;0,"Sangat jelek",IF(I24&lt;=DP_B1,"Jelek",IF(I24&lt;=DP_B2,"Cukup",IF(I24&lt;=DP_B3,"Baik","Baik sekali")))))</f>
        <v>Jelek</v>
      </c>
      <c r="K24" s="31" t="n">
        <f aca="false">IF(OR($B24="",C24=0),"",SUMIFS(SKOR!$AS$6:$AS$55,SKOR!$W$6:$W$55,1)/C24)</f>
        <v>24.8333333333333</v>
      </c>
      <c r="L24" s="34" t="n">
        <f aca="false">IF(K24="","",IFERROR((K24-MEAN_SKOR)/SD_SKOR*SQRT(E24/(1-E24)),""))</f>
        <v>0.186575865386382</v>
      </c>
      <c r="M24" s="34" t="n">
        <f aca="false">IF($B24="","",R_TABEL)</f>
        <v>0.355045889177768</v>
      </c>
      <c r="N24" s="16" t="str">
        <f aca="false">IF($B24="","",IF(L24="","Tidak valid",IF(L24&gt;M24,"Valid","Tidak valid")))</f>
        <v>Tidak valid</v>
      </c>
      <c r="O24" s="34" t="n">
        <f aca="false">IF($B24="","",E24*(1-E24))</f>
        <v>0.243496357960458</v>
      </c>
      <c r="P24" s="16" t="n">
        <f aca="false">IF($B24="","",PENGECOH!T24)</f>
        <v>3</v>
      </c>
      <c r="Q24" s="16" t="str">
        <f aca="false">IF($B24="","",IF(AND(ISNUMBER(I24),I24&lt;0),"Diganti/Dibuang",IF((N24="Valid")+AND(ISNUMBER(I24),I24&gt;DP_B1)+(F24="Sedang")=3,"Diterima",IF((N24="Valid")+AND(ISNUMBER(I24),I24&gt;DP_B1)+(F24="Sedang")=2,"Direvisi","Diganti/Dibuang"))))</f>
        <v>Diganti/Dibuang</v>
      </c>
      <c r="R24" s="35" t="str">
        <f aca="false">IF($B24="","",IF(AND(Q24="Diterima",P24=3),"Soal baik; dapat disimpan di bank soal",TRIM(IF(F24="Sukar","Terlalu sukar. ",IF(F24="Mudah","Terlalu mudah. ",""))&amp;IF(N24&lt;&gt;"Valid","Validitas rendah. ","")&amp;IF(AND(ISNUMBER(I24),I24&lt;0),"Daya pembeda negatif (periksa kunci). ",IF(AND(ISNUMBER(I24),I24&gt;DP_B1),"","Daya pembeda rendah. "))&amp;IF(P24&lt;3,"Ada pengecoh tidak berfungsi.",""))))</f>
        <v>Validitas rendah. Daya pembeda rendah.</v>
      </c>
      <c r="S24" s="35" t="str">
        <f aca="false">IF(KUNCI!C24="","",KUNCI!C24)</f>
        <v/>
      </c>
      <c r="T24" s="36" t="str">
        <f aca="false">IF($Q24="Diterima",$A24,"")</f>
        <v/>
      </c>
      <c r="U24" s="36" t="str">
        <f aca="false">IF($Q24="Direvisi",$A24,"")</f>
        <v/>
      </c>
      <c r="V24" s="36" t="n">
        <f aca="false">IF($Q24="Diganti/Dibuang",$A24,"")</f>
        <v>19</v>
      </c>
    </row>
    <row r="25" customFormat="false" ht="15" hidden="false" customHeight="true" outlineLevel="0" collapsed="false">
      <c r="A25" s="16" t="n">
        <v>20</v>
      </c>
      <c r="B25" s="16" t="str">
        <f aca="false">IF(KUNCI!B25="","",UPPER(KUNCI!B25))</f>
        <v>B</v>
      </c>
      <c r="C25" s="16" t="n">
        <f aca="false">IF($B25="","",SUM(SKOR!$X$6:$X$55))</f>
        <v>22</v>
      </c>
      <c r="D25" s="16" t="n">
        <f aca="false">IF($B25="","",N_SISWA-C25)</f>
        <v>9</v>
      </c>
      <c r="E25" s="31" t="n">
        <f aca="false">IF($B25="","",IFERROR(C25/N_SISWA,""))</f>
        <v>0.709677419354839</v>
      </c>
      <c r="F25" s="16" t="str">
        <f aca="false">IF(E25="","",IF(E25&lt;=BATAS_SUKAR,"Sukar",IF(E25&lt;=BATAS_MUDAH,"Sedang","Mudah")))</f>
        <v>Mudah</v>
      </c>
      <c r="G25" s="16" t="n">
        <f aca="false">IF($B25="","",SUMIFS(SKOR!$X$6:$X$55,SKOR!$AW$6:$AW$55,"&lt;="&amp;N_GRUP))</f>
        <v>8</v>
      </c>
      <c r="H25" s="16" t="n">
        <f aca="false">IF($B25="","",SUMIFS(SKOR!$X$6:$X$55,SKOR!$AW$6:$AW$55,"&gt;"&amp;(N_SISWA-N_GRUP)))</f>
        <v>4</v>
      </c>
      <c r="I25" s="31" t="n">
        <f aca="false">IF($B25="","",IFERROR((G25-H25)/N_GRUP,""))</f>
        <v>0.5</v>
      </c>
      <c r="J25" s="16" t="str">
        <f aca="false">IF(I25="","",IF(I25&lt;0,"Sangat jelek",IF(I25&lt;=DP_B1,"Jelek",IF(I25&lt;=DP_B2,"Cukup",IF(I25&lt;=DP_B3,"Baik","Baik sekali")))))</f>
        <v>Baik</v>
      </c>
      <c r="K25" s="31" t="n">
        <f aca="false">IF(OR($B25="",C25=0),"",SUMIFS(SKOR!$AS$6:$AS$55,SKOR!$X$6:$X$55,1)/C25)</f>
        <v>25.7272727272727</v>
      </c>
      <c r="L25" s="34" t="n">
        <f aca="false">IF(K25="","",IFERROR((K25-MEAN_SKOR)/SD_SKOR*SQRT(E25/(1-E25)),""))</f>
        <v>0.486165146478405</v>
      </c>
      <c r="M25" s="34" t="n">
        <f aca="false">IF($B25="","",R_TABEL)</f>
        <v>0.355045889177768</v>
      </c>
      <c r="N25" s="16" t="str">
        <f aca="false">IF($B25="","",IF(L25="","Tidak valid",IF(L25&gt;M25,"Valid","Tidak valid")))</f>
        <v>Valid</v>
      </c>
      <c r="O25" s="34" t="n">
        <f aca="false">IF($B25="","",E25*(1-E25))</f>
        <v>0.206035379812695</v>
      </c>
      <c r="P25" s="16" t="n">
        <f aca="false">IF($B25="","",PENGECOH!T25)</f>
        <v>3</v>
      </c>
      <c r="Q25" s="16" t="str">
        <f aca="false">IF($B25="","",IF(AND(ISNUMBER(I25),I25&lt;0),"Diganti/Dibuang",IF((N25="Valid")+AND(ISNUMBER(I25),I25&gt;DP_B1)+(F25="Sedang")=3,"Diterima",IF((N25="Valid")+AND(ISNUMBER(I25),I25&gt;DP_B1)+(F25="Sedang")=2,"Direvisi","Diganti/Dibuang"))))</f>
        <v>Direvisi</v>
      </c>
      <c r="R25" s="35" t="str">
        <f aca="false">IF($B25="","",IF(AND(Q25="Diterima",P25=3),"Soal baik; dapat disimpan di bank soal",TRIM(IF(F25="Sukar","Terlalu sukar. ",IF(F25="Mudah","Terlalu mudah. ",""))&amp;IF(N25&lt;&gt;"Valid","Validitas rendah. ","")&amp;IF(AND(ISNUMBER(I25),I25&lt;0),"Daya pembeda negatif (periksa kunci). ",IF(AND(ISNUMBER(I25),I25&gt;DP_B1),"","Daya pembeda rendah. "))&amp;IF(P25&lt;3,"Ada pengecoh tidak berfungsi.",""))))</f>
        <v>Terlalu mudah.</v>
      </c>
      <c r="S25" s="35" t="str">
        <f aca="false">IF(KUNCI!C25="","",KUNCI!C25)</f>
        <v/>
      </c>
      <c r="T25" s="36" t="str">
        <f aca="false">IF($Q25="Diterima",$A25,"")</f>
        <v/>
      </c>
      <c r="U25" s="36" t="n">
        <f aca="false">IF($Q25="Direvisi",$A25,"")</f>
        <v>20</v>
      </c>
      <c r="V25" s="36" t="str">
        <f aca="false">IF($Q25="Diganti/Dibuang",$A25,"")</f>
        <v/>
      </c>
    </row>
    <row r="26" customFormat="false" ht="15" hidden="false" customHeight="true" outlineLevel="0" collapsed="false">
      <c r="A26" s="16" t="n">
        <v>21</v>
      </c>
      <c r="B26" s="16" t="str">
        <f aca="false">IF(KUNCI!B26="","",UPPER(KUNCI!B26))</f>
        <v>D</v>
      </c>
      <c r="C26" s="16" t="n">
        <f aca="false">IF($B26="","",SUM(SKOR!$Y$6:$Y$55))</f>
        <v>18</v>
      </c>
      <c r="D26" s="16" t="n">
        <f aca="false">IF($B26="","",N_SISWA-C26)</f>
        <v>13</v>
      </c>
      <c r="E26" s="31" t="n">
        <f aca="false">IF($B26="","",IFERROR(C26/N_SISWA,""))</f>
        <v>0.580645161290323</v>
      </c>
      <c r="F26" s="16" t="str">
        <f aca="false">IF(E26="","",IF(E26&lt;=BATAS_SUKAR,"Sukar",IF(E26&lt;=BATAS_MUDAH,"Sedang","Mudah")))</f>
        <v>Sedang</v>
      </c>
      <c r="G26" s="16" t="n">
        <f aca="false">IF($B26="","",SUMIFS(SKOR!$Y$6:$Y$55,SKOR!$AW$6:$AW$55,"&lt;="&amp;N_GRUP))</f>
        <v>7</v>
      </c>
      <c r="H26" s="16" t="n">
        <f aca="false">IF($B26="","",SUMIFS(SKOR!$Y$6:$Y$55,SKOR!$AW$6:$AW$55,"&gt;"&amp;(N_SISWA-N_GRUP)))</f>
        <v>3</v>
      </c>
      <c r="I26" s="31" t="n">
        <f aca="false">IF($B26="","",IFERROR((G26-H26)/N_GRUP,""))</f>
        <v>0.5</v>
      </c>
      <c r="J26" s="16" t="str">
        <f aca="false">IF(I26="","",IF(I26&lt;0,"Sangat jelek",IF(I26&lt;=DP_B1,"Jelek",IF(I26&lt;=DP_B2,"Cukup",IF(I26&lt;=DP_B3,"Baik","Baik sekali")))))</f>
        <v>Baik</v>
      </c>
      <c r="K26" s="31" t="n">
        <f aca="false">IF(OR($B26="",C26=0),"",SUMIFS(SKOR!$AS$6:$AS$55,SKOR!$Y$6:$Y$55,1)/C26)</f>
        <v>25.7777777777778</v>
      </c>
      <c r="L26" s="34" t="n">
        <f aca="false">IF(K26="","",IFERROR((K26-MEAN_SKOR)/SD_SKOR*SQRT(E26/(1-E26)),""))</f>
        <v>0.376027659333633</v>
      </c>
      <c r="M26" s="34" t="n">
        <f aca="false">IF($B26="","",R_TABEL)</f>
        <v>0.355045889177768</v>
      </c>
      <c r="N26" s="16" t="str">
        <f aca="false">IF($B26="","",IF(L26="","Tidak valid",IF(L26&gt;M26,"Valid","Tidak valid")))</f>
        <v>Valid</v>
      </c>
      <c r="O26" s="34" t="n">
        <f aca="false">IF($B26="","",E26*(1-E26))</f>
        <v>0.243496357960458</v>
      </c>
      <c r="P26" s="16" t="n">
        <f aca="false">IF($B26="","",PENGECOH!T26)</f>
        <v>3</v>
      </c>
      <c r="Q26" s="16" t="str">
        <f aca="false">IF($B26="","",IF(AND(ISNUMBER(I26),I26&lt;0),"Diganti/Dibuang",IF((N26="Valid")+AND(ISNUMBER(I26),I26&gt;DP_B1)+(F26="Sedang")=3,"Diterima",IF((N26="Valid")+AND(ISNUMBER(I26),I26&gt;DP_B1)+(F26="Sedang")=2,"Direvisi","Diganti/Dibuang"))))</f>
        <v>Diterima</v>
      </c>
      <c r="R26" s="35" t="str">
        <f aca="false">IF($B26="","",IF(AND(Q26="Diterima",P26=3),"Soal baik; dapat disimpan di bank soal",TRIM(IF(F26="Sukar","Terlalu sukar. ",IF(F26="Mudah","Terlalu mudah. ",""))&amp;IF(N26&lt;&gt;"Valid","Validitas rendah. ","")&amp;IF(AND(ISNUMBER(I26),I26&lt;0),"Daya pembeda negatif (periksa kunci). ",IF(AND(ISNUMBER(I26),I26&gt;DP_B1),"","Daya pembeda rendah. "))&amp;IF(P26&lt;3,"Ada pengecoh tidak berfungsi.",""))))</f>
        <v>Soal baik; dapat disimpan di bank soal</v>
      </c>
      <c r="S26" s="35" t="str">
        <f aca="false">IF(KUNCI!C26="","",KUNCI!C26)</f>
        <v/>
      </c>
      <c r="T26" s="36" t="n">
        <f aca="false">IF($Q26="Diterima",$A26,"")</f>
        <v>21</v>
      </c>
      <c r="U26" s="36" t="str">
        <f aca="false">IF($Q26="Direvisi",$A26,"")</f>
        <v/>
      </c>
      <c r="V26" s="36" t="str">
        <f aca="false">IF($Q26="Diganti/Dibuang",$A26,"")</f>
        <v/>
      </c>
    </row>
    <row r="27" customFormat="false" ht="23.25" hidden="false" customHeight="true" outlineLevel="0" collapsed="false">
      <c r="A27" s="16" t="n">
        <v>22</v>
      </c>
      <c r="B27" s="16" t="str">
        <f aca="false">IF(KUNCI!B27="","",UPPER(KUNCI!B27))</f>
        <v>D</v>
      </c>
      <c r="C27" s="16" t="n">
        <f aca="false">IF($B27="","",SUM(SKOR!$Z$6:$Z$55))</f>
        <v>20</v>
      </c>
      <c r="D27" s="16" t="n">
        <f aca="false">IF($B27="","",N_SISWA-C27)</f>
        <v>11</v>
      </c>
      <c r="E27" s="31" t="n">
        <f aca="false">IF($B27="","",IFERROR(C27/N_SISWA,""))</f>
        <v>0.645161290322581</v>
      </c>
      <c r="F27" s="16" t="str">
        <f aca="false">IF(E27="","",IF(E27&lt;=BATAS_SUKAR,"Sukar",IF(E27&lt;=BATAS_MUDAH,"Sedang","Mudah")))</f>
        <v>Sedang</v>
      </c>
      <c r="G27" s="16" t="n">
        <f aca="false">IF($B27="","",SUMIFS(SKOR!$Z$6:$Z$55,SKOR!$AW$6:$AW$55,"&lt;="&amp;N_GRUP))</f>
        <v>6</v>
      </c>
      <c r="H27" s="16" t="n">
        <f aca="false">IF($B27="","",SUMIFS(SKOR!$Z$6:$Z$55,SKOR!$AW$6:$AW$55,"&gt;"&amp;(N_SISWA-N_GRUP)))</f>
        <v>4</v>
      </c>
      <c r="I27" s="31" t="n">
        <f aca="false">IF($B27="","",IFERROR((G27-H27)/N_GRUP,""))</f>
        <v>0.25</v>
      </c>
      <c r="J27" s="16" t="str">
        <f aca="false">IF(I27="","",IF(I27&lt;0,"Sangat jelek",IF(I27&lt;=DP_B1,"Jelek",IF(I27&lt;=DP_B2,"Cukup",IF(I27&lt;=DP_B3,"Baik","Baik sekali")))))</f>
        <v>Cukup</v>
      </c>
      <c r="K27" s="31" t="n">
        <f aca="false">IF(OR($B27="",C27=0),"",SUMIFS(SKOR!$AS$6:$AS$55,SKOR!$Z$6:$Z$55,1)/C27)</f>
        <v>25.05</v>
      </c>
      <c r="L27" s="34" t="n">
        <f aca="false">IF(K27="","",IFERROR((K27-MEAN_SKOR)/SD_SKOR*SQRT(E27/(1-E27)),""))</f>
        <v>0.263605395893073</v>
      </c>
      <c r="M27" s="34" t="n">
        <f aca="false">IF($B27="","",R_TABEL)</f>
        <v>0.355045889177768</v>
      </c>
      <c r="N27" s="16" t="str">
        <f aca="false">IF($B27="","",IF(L27="","Tidak valid",IF(L27&gt;M27,"Valid","Tidak valid")))</f>
        <v>Tidak valid</v>
      </c>
      <c r="O27" s="34" t="n">
        <f aca="false">IF($B27="","",E27*(1-E27))</f>
        <v>0.228928199791883</v>
      </c>
      <c r="P27" s="16" t="n">
        <f aca="false">IF($B27="","",PENGECOH!T27)</f>
        <v>1</v>
      </c>
      <c r="Q27" s="16" t="str">
        <f aca="false">IF($B27="","",IF(AND(ISNUMBER(I27),I27&lt;0),"Diganti/Dibuang",IF((N27="Valid")+AND(ISNUMBER(I27),I27&gt;DP_B1)+(F27="Sedang")=3,"Diterima",IF((N27="Valid")+AND(ISNUMBER(I27),I27&gt;DP_B1)+(F27="Sedang")=2,"Direvisi","Diganti/Dibuang"))))</f>
        <v>Direvisi</v>
      </c>
      <c r="R27" s="35" t="str">
        <f aca="false">IF($B27="","",IF(AND(Q27="Diterima",P27=3),"Soal baik; dapat disimpan di bank soal",TRIM(IF(F27="Sukar","Terlalu sukar. ",IF(F27="Mudah","Terlalu mudah. ",""))&amp;IF(N27&lt;&gt;"Valid","Validitas rendah. ","")&amp;IF(AND(ISNUMBER(I27),I27&lt;0),"Daya pembeda negatif (periksa kunci). ",IF(AND(ISNUMBER(I27),I27&gt;DP_B1),"","Daya pembeda rendah. "))&amp;IF(P27&lt;3,"Ada pengecoh tidak berfungsi.",""))))</f>
        <v>Validitas rendah. Ada pengecoh tidak berfungsi.</v>
      </c>
      <c r="S27" s="35" t="str">
        <f aca="false">IF(KUNCI!C27="","",KUNCI!C27)</f>
        <v/>
      </c>
      <c r="T27" s="36" t="str">
        <f aca="false">IF($Q27="Diterima",$A27,"")</f>
        <v/>
      </c>
      <c r="U27" s="36" t="n">
        <f aca="false">IF($Q27="Direvisi",$A27,"")</f>
        <v>22</v>
      </c>
      <c r="V27" s="36" t="str">
        <f aca="false">IF($Q27="Diganti/Dibuang",$A27,"")</f>
        <v/>
      </c>
    </row>
    <row r="28" customFormat="false" ht="15" hidden="false" customHeight="true" outlineLevel="0" collapsed="false">
      <c r="A28" s="16" t="n">
        <v>23</v>
      </c>
      <c r="B28" s="16" t="str">
        <f aca="false">IF(KUNCI!B28="","",UPPER(KUNCI!B28))</f>
        <v>A</v>
      </c>
      <c r="C28" s="16" t="n">
        <f aca="false">IF($B28="","",SUM(SKOR!$AA$6:$AA$55))</f>
        <v>22</v>
      </c>
      <c r="D28" s="16" t="n">
        <f aca="false">IF($B28="","",N_SISWA-C28)</f>
        <v>9</v>
      </c>
      <c r="E28" s="31" t="n">
        <f aca="false">IF($B28="","",IFERROR(C28/N_SISWA,""))</f>
        <v>0.709677419354839</v>
      </c>
      <c r="F28" s="16" t="str">
        <f aca="false">IF(E28="","",IF(E28&lt;=BATAS_SUKAR,"Sukar",IF(E28&lt;=BATAS_MUDAH,"Sedang","Mudah")))</f>
        <v>Mudah</v>
      </c>
      <c r="G28" s="16" t="n">
        <f aca="false">IF($B28="","",SUMIFS(SKOR!$AA$6:$AA$55,SKOR!$AW$6:$AW$55,"&lt;="&amp;N_GRUP))</f>
        <v>6</v>
      </c>
      <c r="H28" s="16" t="n">
        <f aca="false">IF($B28="","",SUMIFS(SKOR!$AA$6:$AA$55,SKOR!$AW$6:$AW$55,"&gt;"&amp;(N_SISWA-N_GRUP)))</f>
        <v>5</v>
      </c>
      <c r="I28" s="31" t="n">
        <f aca="false">IF($B28="","",IFERROR((G28-H28)/N_GRUP,""))</f>
        <v>0.125</v>
      </c>
      <c r="J28" s="16" t="str">
        <f aca="false">IF(I28="","",IF(I28&lt;0,"Sangat jelek",IF(I28&lt;=DP_B1,"Jelek",IF(I28&lt;=DP_B2,"Cukup",IF(I28&lt;=DP_B3,"Baik","Baik sekali")))))</f>
        <v>Jelek</v>
      </c>
      <c r="K28" s="31" t="n">
        <f aca="false">IF(OR($B28="",C28=0),"",SUMIFS(SKOR!$AS$6:$AS$55,SKOR!$AA$6:$AA$55,1)/C28)</f>
        <v>24.3636363636364</v>
      </c>
      <c r="L28" s="34" t="n">
        <f aca="false">IF(K28="","",IFERROR((K28-MEAN_SKOR)/SD_SKOR*SQRT(E28/(1-E28)),""))</f>
        <v>0.122713710606286</v>
      </c>
      <c r="M28" s="34" t="n">
        <f aca="false">IF($B28="","",R_TABEL)</f>
        <v>0.355045889177768</v>
      </c>
      <c r="N28" s="16" t="str">
        <f aca="false">IF($B28="","",IF(L28="","Tidak valid",IF(L28&gt;M28,"Valid","Tidak valid")))</f>
        <v>Tidak valid</v>
      </c>
      <c r="O28" s="34" t="n">
        <f aca="false">IF($B28="","",E28*(1-E28))</f>
        <v>0.206035379812695</v>
      </c>
      <c r="P28" s="16" t="n">
        <f aca="false">IF($B28="","",PENGECOH!T28)</f>
        <v>3</v>
      </c>
      <c r="Q28" s="16" t="str">
        <f aca="false">IF($B28="","",IF(AND(ISNUMBER(I28),I28&lt;0),"Diganti/Dibuang",IF((N28="Valid")+AND(ISNUMBER(I28),I28&gt;DP_B1)+(F28="Sedang")=3,"Diterima",IF((N28="Valid")+AND(ISNUMBER(I28),I28&gt;DP_B1)+(F28="Sedang")=2,"Direvisi","Diganti/Dibuang"))))</f>
        <v>Diganti/Dibuang</v>
      </c>
      <c r="R28" s="35" t="str">
        <f aca="false">IF($B28="","",IF(AND(Q28="Diterima",P28=3),"Soal baik; dapat disimpan di bank soal",TRIM(IF(F28="Sukar","Terlalu sukar. ",IF(F28="Mudah","Terlalu mudah. ",""))&amp;IF(N28&lt;&gt;"Valid","Validitas rendah. ","")&amp;IF(AND(ISNUMBER(I28),I28&lt;0),"Daya pembeda negatif (periksa kunci). ",IF(AND(ISNUMBER(I28),I28&gt;DP_B1),"","Daya pembeda rendah. "))&amp;IF(P28&lt;3,"Ada pengecoh tidak berfungsi.",""))))</f>
        <v>Terlalu mudah. Validitas rendah. Daya pembeda rendah.</v>
      </c>
      <c r="S28" s="35" t="str">
        <f aca="false">IF(KUNCI!C28="","",KUNCI!C28)</f>
        <v/>
      </c>
      <c r="T28" s="36" t="str">
        <f aca="false">IF($Q28="Diterima",$A28,"")</f>
        <v/>
      </c>
      <c r="U28" s="36" t="str">
        <f aca="false">IF($Q28="Direvisi",$A28,"")</f>
        <v/>
      </c>
      <c r="V28" s="36" t="n">
        <f aca="false">IF($Q28="Diganti/Dibuang",$A28,"")</f>
        <v>23</v>
      </c>
    </row>
    <row r="29" customFormat="false" ht="15" hidden="false" customHeight="true" outlineLevel="0" collapsed="false">
      <c r="A29" s="16" t="n">
        <v>24</v>
      </c>
      <c r="B29" s="16" t="str">
        <f aca="false">IF(KUNCI!B29="","",UPPER(KUNCI!B29))</f>
        <v>C</v>
      </c>
      <c r="C29" s="16" t="n">
        <f aca="false">IF($B29="","",SUM(SKOR!$AB$6:$AB$55))</f>
        <v>21</v>
      </c>
      <c r="D29" s="16" t="n">
        <f aca="false">IF($B29="","",N_SISWA-C29)</f>
        <v>10</v>
      </c>
      <c r="E29" s="31" t="n">
        <f aca="false">IF($B29="","",IFERROR(C29/N_SISWA,""))</f>
        <v>0.67741935483871</v>
      </c>
      <c r="F29" s="16" t="str">
        <f aca="false">IF(E29="","",IF(E29&lt;=BATAS_SUKAR,"Sukar",IF(E29&lt;=BATAS_MUDAH,"Sedang","Mudah")))</f>
        <v>Sedang</v>
      </c>
      <c r="G29" s="16" t="n">
        <f aca="false">IF($B29="","",SUMIFS(SKOR!$AB$6:$AB$55,SKOR!$AW$6:$AW$55,"&lt;="&amp;N_GRUP))</f>
        <v>7</v>
      </c>
      <c r="H29" s="16" t="n">
        <f aca="false">IF($B29="","",SUMIFS(SKOR!$AB$6:$AB$55,SKOR!$AW$6:$AW$55,"&gt;"&amp;(N_SISWA-N_GRUP)))</f>
        <v>2</v>
      </c>
      <c r="I29" s="31" t="n">
        <f aca="false">IF($B29="","",IFERROR((G29-H29)/N_GRUP,""))</f>
        <v>0.625</v>
      </c>
      <c r="J29" s="16" t="str">
        <f aca="false">IF(I29="","",IF(I29&lt;0,"Sangat jelek",IF(I29&lt;=DP_B1,"Jelek",IF(I29&lt;=DP_B2,"Cukup",IF(I29&lt;=DP_B3,"Baik","Baik sekali")))))</f>
        <v>Baik</v>
      </c>
      <c r="K29" s="31" t="n">
        <f aca="false">IF(OR($B29="",C29=0),"",SUMIFS(SKOR!$AS$6:$AS$55,SKOR!$AB$6:$AB$55,1)/C29)</f>
        <v>26</v>
      </c>
      <c r="L29" s="34" t="n">
        <f aca="false">IF(K29="","",IFERROR((K29-MEAN_SKOR)/SD_SKOR*SQRT(E29/(1-E29)),""))</f>
        <v>0.517987213740499</v>
      </c>
      <c r="M29" s="34" t="n">
        <f aca="false">IF($B29="","",R_TABEL)</f>
        <v>0.355045889177768</v>
      </c>
      <c r="N29" s="16" t="str">
        <f aca="false">IF($B29="","",IF(L29="","Tidak valid",IF(L29&gt;M29,"Valid","Tidak valid")))</f>
        <v>Valid</v>
      </c>
      <c r="O29" s="34" t="n">
        <f aca="false">IF($B29="","",E29*(1-E29))</f>
        <v>0.218522372528616</v>
      </c>
      <c r="P29" s="16" t="n">
        <f aca="false">IF($B29="","",PENGECOH!T29)</f>
        <v>1</v>
      </c>
      <c r="Q29" s="16" t="str">
        <f aca="false">IF($B29="","",IF(AND(ISNUMBER(I29),I29&lt;0),"Diganti/Dibuang",IF((N29="Valid")+AND(ISNUMBER(I29),I29&gt;DP_B1)+(F29="Sedang")=3,"Diterima",IF((N29="Valid")+AND(ISNUMBER(I29),I29&gt;DP_B1)+(F29="Sedang")=2,"Direvisi","Diganti/Dibuang"))))</f>
        <v>Diterima</v>
      </c>
      <c r="R29" s="35" t="str">
        <f aca="false">IF($B29="","",IF(AND(Q29="Diterima",P29=3),"Soal baik; dapat disimpan di bank soal",TRIM(IF(F29="Sukar","Terlalu sukar. ",IF(F29="Mudah","Terlalu mudah. ",""))&amp;IF(N29&lt;&gt;"Valid","Validitas rendah. ","")&amp;IF(AND(ISNUMBER(I29),I29&lt;0),"Daya pembeda negatif (periksa kunci). ",IF(AND(ISNUMBER(I29),I29&gt;DP_B1),"","Daya pembeda rendah. "))&amp;IF(P29&lt;3,"Ada pengecoh tidak berfungsi.",""))))</f>
        <v>Ada pengecoh tidak berfungsi.</v>
      </c>
      <c r="S29" s="35" t="str">
        <f aca="false">IF(KUNCI!C29="","",KUNCI!C29)</f>
        <v/>
      </c>
      <c r="T29" s="36" t="n">
        <f aca="false">IF($Q29="Diterima",$A29,"")</f>
        <v>24</v>
      </c>
      <c r="U29" s="36" t="str">
        <f aca="false">IF($Q29="Direvisi",$A29,"")</f>
        <v/>
      </c>
      <c r="V29" s="36" t="str">
        <f aca="false">IF($Q29="Diganti/Dibuang",$A29,"")</f>
        <v/>
      </c>
    </row>
    <row r="30" customFormat="false" ht="23.25" hidden="false" customHeight="true" outlineLevel="0" collapsed="false">
      <c r="A30" s="16" t="n">
        <v>25</v>
      </c>
      <c r="B30" s="16" t="str">
        <f aca="false">IF(KUNCI!B30="","",UPPER(KUNCI!B30))</f>
        <v>D</v>
      </c>
      <c r="C30" s="16" t="n">
        <f aca="false">IF($B30="","",SUM(SKOR!$AC$6:$AC$55))</f>
        <v>19</v>
      </c>
      <c r="D30" s="16" t="n">
        <f aca="false">IF($B30="","",N_SISWA-C30)</f>
        <v>12</v>
      </c>
      <c r="E30" s="31" t="n">
        <f aca="false">IF($B30="","",IFERROR(C30/N_SISWA,""))</f>
        <v>0.612903225806452</v>
      </c>
      <c r="F30" s="16" t="str">
        <f aca="false">IF(E30="","",IF(E30&lt;=BATAS_SUKAR,"Sukar",IF(E30&lt;=BATAS_MUDAH,"Sedang","Mudah")))</f>
        <v>Sedang</v>
      </c>
      <c r="G30" s="16" t="n">
        <f aca="false">IF($B30="","",SUMIFS(SKOR!$AC$6:$AC$55,SKOR!$AW$6:$AW$55,"&lt;="&amp;N_GRUP))</f>
        <v>5</v>
      </c>
      <c r="H30" s="16" t="n">
        <f aca="false">IF($B30="","",SUMIFS(SKOR!$AC$6:$AC$55,SKOR!$AW$6:$AW$55,"&gt;"&amp;(N_SISWA-N_GRUP)))</f>
        <v>5</v>
      </c>
      <c r="I30" s="31" t="n">
        <f aca="false">IF($B30="","",IFERROR((G30-H30)/N_GRUP,""))</f>
        <v>0</v>
      </c>
      <c r="J30" s="16" t="str">
        <f aca="false">IF(I30="","",IF(I30&lt;0,"Sangat jelek",IF(I30&lt;=DP_B1,"Jelek",IF(I30&lt;=DP_B2,"Cukup",IF(I30&lt;=DP_B3,"Baik","Baik sekali")))))</f>
        <v>Jelek</v>
      </c>
      <c r="K30" s="31" t="n">
        <f aca="false">IF(OR($B30="",C30=0),"",SUMIFS(SKOR!$AS$6:$AS$55,SKOR!$AC$6:$AC$55,1)/C30)</f>
        <v>24.5789473684211</v>
      </c>
      <c r="L30" s="34" t="n">
        <f aca="false">IF(K30="","",IFERROR((K30-MEAN_SKOR)/SD_SKOR*SQRT(E30/(1-E30)),""))</f>
        <v>0.144947818697985</v>
      </c>
      <c r="M30" s="34" t="n">
        <f aca="false">IF($B30="","",R_TABEL)</f>
        <v>0.355045889177768</v>
      </c>
      <c r="N30" s="16" t="str">
        <f aca="false">IF($B30="","",IF(L30="","Tidak valid",IF(L30&gt;M30,"Valid","Tidak valid")))</f>
        <v>Tidak valid</v>
      </c>
      <c r="O30" s="34" t="n">
        <f aca="false">IF($B30="","",E30*(1-E30))</f>
        <v>0.237252861602497</v>
      </c>
      <c r="P30" s="16" t="n">
        <f aca="false">IF($B30="","",PENGECOH!T30)</f>
        <v>3</v>
      </c>
      <c r="Q30" s="16" t="str">
        <f aca="false">IF($B30="","",IF(AND(ISNUMBER(I30),I30&lt;0),"Diganti/Dibuang",IF((N30="Valid")+AND(ISNUMBER(I30),I30&gt;DP_B1)+(F30="Sedang")=3,"Diterima",IF((N30="Valid")+AND(ISNUMBER(I30),I30&gt;DP_B1)+(F30="Sedang")=2,"Direvisi","Diganti/Dibuang"))))</f>
        <v>Diganti/Dibuang</v>
      </c>
      <c r="R30" s="35" t="str">
        <f aca="false">IF($B30="","",IF(AND(Q30="Diterima",P30=3),"Soal baik; dapat disimpan di bank soal",TRIM(IF(F30="Sukar","Terlalu sukar. ",IF(F30="Mudah","Terlalu mudah. ",""))&amp;IF(N30&lt;&gt;"Valid","Validitas rendah. ","")&amp;IF(AND(ISNUMBER(I30),I30&lt;0),"Daya pembeda negatif (periksa kunci). ",IF(AND(ISNUMBER(I30),I30&gt;DP_B1),"","Daya pembeda rendah. "))&amp;IF(P30&lt;3,"Ada pengecoh tidak berfungsi.",""))))</f>
        <v>Validitas rendah. Daya pembeda rendah.</v>
      </c>
      <c r="S30" s="35" t="str">
        <f aca="false">IF(KUNCI!C30="","",KUNCI!C30)</f>
        <v/>
      </c>
      <c r="T30" s="36" t="str">
        <f aca="false">IF($Q30="Diterima",$A30,"")</f>
        <v/>
      </c>
      <c r="U30" s="36" t="str">
        <f aca="false">IF($Q30="Direvisi",$A30,"")</f>
        <v/>
      </c>
      <c r="V30" s="36" t="n">
        <f aca="false">IF($Q30="Diganti/Dibuang",$A30,"")</f>
        <v>25</v>
      </c>
    </row>
    <row r="31" customFormat="false" ht="15" hidden="false" customHeight="true" outlineLevel="0" collapsed="false">
      <c r="A31" s="16" t="n">
        <v>26</v>
      </c>
      <c r="B31" s="16" t="str">
        <f aca="false">IF(KUNCI!B31="","",UPPER(KUNCI!B31))</f>
        <v>C</v>
      </c>
      <c r="C31" s="16" t="n">
        <f aca="false">IF($B31="","",SUM(SKOR!$AD$6:$AD$55))</f>
        <v>18</v>
      </c>
      <c r="D31" s="16" t="n">
        <f aca="false">IF($B31="","",N_SISWA-C31)</f>
        <v>13</v>
      </c>
      <c r="E31" s="31" t="n">
        <f aca="false">IF($B31="","",IFERROR(C31/N_SISWA,""))</f>
        <v>0.580645161290323</v>
      </c>
      <c r="F31" s="16" t="str">
        <f aca="false">IF(E31="","",IF(E31&lt;=BATAS_SUKAR,"Sukar",IF(E31&lt;=BATAS_MUDAH,"Sedang","Mudah")))</f>
        <v>Sedang</v>
      </c>
      <c r="G31" s="16" t="n">
        <f aca="false">IF($B31="","",SUMIFS(SKOR!$AD$6:$AD$55,SKOR!$AW$6:$AW$55,"&lt;="&amp;N_GRUP))</f>
        <v>6</v>
      </c>
      <c r="H31" s="16" t="n">
        <f aca="false">IF($B31="","",SUMIFS(SKOR!$AD$6:$AD$55,SKOR!$AW$6:$AW$55,"&gt;"&amp;(N_SISWA-N_GRUP)))</f>
        <v>3</v>
      </c>
      <c r="I31" s="31" t="n">
        <f aca="false">IF($B31="","",IFERROR((G31-H31)/N_GRUP,""))</f>
        <v>0.375</v>
      </c>
      <c r="J31" s="16" t="str">
        <f aca="false">IF(I31="","",IF(I31&lt;0,"Sangat jelek",IF(I31&lt;=DP_B1,"Jelek",IF(I31&lt;=DP_B2,"Cukup",IF(I31&lt;=DP_B3,"Baik","Baik sekali")))))</f>
        <v>Cukup</v>
      </c>
      <c r="K31" s="31" t="n">
        <f aca="false">IF(OR($B31="",C31=0),"",SUMIFS(SKOR!$AS$6:$AS$55,SKOR!$AD$6:$AD$55,1)/C31)</f>
        <v>25.2222222222222</v>
      </c>
      <c r="L31" s="34" t="n">
        <f aca="false">IF(K31="","",IFERROR((K31-MEAN_SKOR)/SD_SKOR*SQRT(E31/(1-E31)),""))</f>
        <v>0.264585427599955</v>
      </c>
      <c r="M31" s="34" t="n">
        <f aca="false">IF($B31="","",R_TABEL)</f>
        <v>0.355045889177768</v>
      </c>
      <c r="N31" s="16" t="str">
        <f aca="false">IF($B31="","",IF(L31="","Tidak valid",IF(L31&gt;M31,"Valid","Tidak valid")))</f>
        <v>Tidak valid</v>
      </c>
      <c r="O31" s="34" t="n">
        <f aca="false">IF($B31="","",E31*(1-E31))</f>
        <v>0.243496357960458</v>
      </c>
      <c r="P31" s="16" t="n">
        <f aca="false">IF($B31="","",PENGECOH!T31)</f>
        <v>3</v>
      </c>
      <c r="Q31" s="16" t="str">
        <f aca="false">IF($B31="","",IF(AND(ISNUMBER(I31),I31&lt;0),"Diganti/Dibuang",IF((N31="Valid")+AND(ISNUMBER(I31),I31&gt;DP_B1)+(F31="Sedang")=3,"Diterima",IF((N31="Valid")+AND(ISNUMBER(I31),I31&gt;DP_B1)+(F31="Sedang")=2,"Direvisi","Diganti/Dibuang"))))</f>
        <v>Direvisi</v>
      </c>
      <c r="R31" s="35" t="str">
        <f aca="false">IF($B31="","",IF(AND(Q31="Diterima",P31=3),"Soal baik; dapat disimpan di bank soal",TRIM(IF(F31="Sukar","Terlalu sukar. ",IF(F31="Mudah","Terlalu mudah. ",""))&amp;IF(N31&lt;&gt;"Valid","Validitas rendah. ","")&amp;IF(AND(ISNUMBER(I31),I31&lt;0),"Daya pembeda negatif (periksa kunci). ",IF(AND(ISNUMBER(I31),I31&gt;DP_B1),"","Daya pembeda rendah. "))&amp;IF(P31&lt;3,"Ada pengecoh tidak berfungsi.",""))))</f>
        <v>Validitas rendah.</v>
      </c>
      <c r="S31" s="35" t="str">
        <f aca="false">IF(KUNCI!C31="","",KUNCI!C31)</f>
        <v/>
      </c>
      <c r="T31" s="36" t="str">
        <f aca="false">IF($Q31="Diterima",$A31,"")</f>
        <v/>
      </c>
      <c r="U31" s="36" t="n">
        <f aca="false">IF($Q31="Direvisi",$A31,"")</f>
        <v>26</v>
      </c>
      <c r="V31" s="36" t="str">
        <f aca="false">IF($Q31="Diganti/Dibuang",$A31,"")</f>
        <v/>
      </c>
    </row>
    <row r="32" customFormat="false" ht="23.25" hidden="false" customHeight="true" outlineLevel="0" collapsed="false">
      <c r="A32" s="16" t="n">
        <v>27</v>
      </c>
      <c r="B32" s="16" t="str">
        <f aca="false">IF(KUNCI!B32="","",UPPER(KUNCI!B32))</f>
        <v>C</v>
      </c>
      <c r="C32" s="16" t="n">
        <f aca="false">IF($B32="","",SUM(SKOR!$AE$6:$AE$55))</f>
        <v>18</v>
      </c>
      <c r="D32" s="16" t="n">
        <f aca="false">IF($B32="","",N_SISWA-C32)</f>
        <v>13</v>
      </c>
      <c r="E32" s="31" t="n">
        <f aca="false">IF($B32="","",IFERROR(C32/N_SISWA,""))</f>
        <v>0.580645161290323</v>
      </c>
      <c r="F32" s="16" t="str">
        <f aca="false">IF(E32="","",IF(E32&lt;=BATAS_SUKAR,"Sukar",IF(E32&lt;=BATAS_MUDAH,"Sedang","Mudah")))</f>
        <v>Sedang</v>
      </c>
      <c r="G32" s="16" t="n">
        <f aca="false">IF($B32="","",SUMIFS(SKOR!$AE$6:$AE$55,SKOR!$AW$6:$AW$55,"&lt;="&amp;N_GRUP))</f>
        <v>7</v>
      </c>
      <c r="H32" s="16" t="n">
        <f aca="false">IF($B32="","",SUMIFS(SKOR!$AE$6:$AE$55,SKOR!$AW$6:$AW$55,"&gt;"&amp;(N_SISWA-N_GRUP)))</f>
        <v>3</v>
      </c>
      <c r="I32" s="31" t="n">
        <f aca="false">IF($B32="","",IFERROR((G32-H32)/N_GRUP,""))</f>
        <v>0.5</v>
      </c>
      <c r="J32" s="16" t="str">
        <f aca="false">IF(I32="","",IF(I32&lt;0,"Sangat jelek",IF(I32&lt;=DP_B1,"Jelek",IF(I32&lt;=DP_B2,"Cukup",IF(I32&lt;=DP_B3,"Baik","Baik sekali")))))</f>
        <v>Baik</v>
      </c>
      <c r="K32" s="31" t="n">
        <f aca="false">IF(OR($B32="",C32=0),"",SUMIFS(SKOR!$AS$6:$AS$55,SKOR!$AE$6:$AE$55,1)/C32)</f>
        <v>25.7777777777778</v>
      </c>
      <c r="L32" s="34" t="n">
        <f aca="false">IF(K32="","",IFERROR((K32-MEAN_SKOR)/SD_SKOR*SQRT(E32/(1-E32)),""))</f>
        <v>0.376027659333633</v>
      </c>
      <c r="M32" s="34" t="n">
        <f aca="false">IF($B32="","",R_TABEL)</f>
        <v>0.355045889177768</v>
      </c>
      <c r="N32" s="16" t="str">
        <f aca="false">IF($B32="","",IF(L32="","Tidak valid",IF(L32&gt;M32,"Valid","Tidak valid")))</f>
        <v>Valid</v>
      </c>
      <c r="O32" s="34" t="n">
        <f aca="false">IF($B32="","",E32*(1-E32))</f>
        <v>0.243496357960458</v>
      </c>
      <c r="P32" s="16" t="n">
        <f aca="false">IF($B32="","",PENGECOH!T32)</f>
        <v>3</v>
      </c>
      <c r="Q32" s="16" t="str">
        <f aca="false">IF($B32="","",IF(AND(ISNUMBER(I32),I32&lt;0),"Diganti/Dibuang",IF((N32="Valid")+AND(ISNUMBER(I32),I32&gt;DP_B1)+(F32="Sedang")=3,"Diterima",IF((N32="Valid")+AND(ISNUMBER(I32),I32&gt;DP_B1)+(F32="Sedang")=2,"Direvisi","Diganti/Dibuang"))))</f>
        <v>Diterima</v>
      </c>
      <c r="R32" s="35" t="str">
        <f aca="false">IF($B32="","",IF(AND(Q32="Diterima",P32=3),"Soal baik; dapat disimpan di bank soal",TRIM(IF(F32="Sukar","Terlalu sukar. ",IF(F32="Mudah","Terlalu mudah. ",""))&amp;IF(N32&lt;&gt;"Valid","Validitas rendah. ","")&amp;IF(AND(ISNUMBER(I32),I32&lt;0),"Daya pembeda negatif (periksa kunci). ",IF(AND(ISNUMBER(I32),I32&gt;DP_B1),"","Daya pembeda rendah. "))&amp;IF(P32&lt;3,"Ada pengecoh tidak berfungsi.",""))))</f>
        <v>Soal baik; dapat disimpan di bank soal</v>
      </c>
      <c r="S32" s="35" t="str">
        <f aca="false">IF(KUNCI!C32="","",KUNCI!C32)</f>
        <v/>
      </c>
      <c r="T32" s="36" t="n">
        <f aca="false">IF($Q32="Diterima",$A32,"")</f>
        <v>27</v>
      </c>
      <c r="U32" s="36" t="str">
        <f aca="false">IF($Q32="Direvisi",$A32,"")</f>
        <v/>
      </c>
      <c r="V32" s="36" t="str">
        <f aca="false">IF($Q32="Diganti/Dibuang",$A32,"")</f>
        <v/>
      </c>
    </row>
    <row r="33" customFormat="false" ht="23.25" hidden="false" customHeight="true" outlineLevel="0" collapsed="false">
      <c r="A33" s="16" t="n">
        <v>28</v>
      </c>
      <c r="B33" s="16" t="str">
        <f aca="false">IF(KUNCI!B33="","",UPPER(KUNCI!B33))</f>
        <v>C</v>
      </c>
      <c r="C33" s="16" t="n">
        <f aca="false">IF($B33="","",SUM(SKOR!$AF$6:$AF$55))</f>
        <v>13</v>
      </c>
      <c r="D33" s="16" t="n">
        <f aca="false">IF($B33="","",N_SISWA-C33)</f>
        <v>18</v>
      </c>
      <c r="E33" s="31" t="n">
        <f aca="false">IF($B33="","",IFERROR(C33/N_SISWA,""))</f>
        <v>0.419354838709677</v>
      </c>
      <c r="F33" s="16" t="str">
        <f aca="false">IF(E33="","",IF(E33&lt;=BATAS_SUKAR,"Sukar",IF(E33&lt;=BATAS_MUDAH,"Sedang","Mudah")))</f>
        <v>Sedang</v>
      </c>
      <c r="G33" s="16" t="n">
        <f aca="false">IF($B33="","",SUMIFS(SKOR!$AF$6:$AF$55,SKOR!$AW$6:$AW$55,"&lt;="&amp;N_GRUP))</f>
        <v>5</v>
      </c>
      <c r="H33" s="16" t="n">
        <f aca="false">IF($B33="","",SUMIFS(SKOR!$AF$6:$AF$55,SKOR!$AW$6:$AW$55,"&gt;"&amp;(N_SISWA-N_GRUP)))</f>
        <v>1</v>
      </c>
      <c r="I33" s="31" t="n">
        <f aca="false">IF($B33="","",IFERROR((G33-H33)/N_GRUP,""))</f>
        <v>0.5</v>
      </c>
      <c r="J33" s="16" t="str">
        <f aca="false">IF(I33="","",IF(I33&lt;0,"Sangat jelek",IF(I33&lt;=DP_B1,"Jelek",IF(I33&lt;=DP_B2,"Cukup",IF(I33&lt;=DP_B3,"Baik","Baik sekali")))))</f>
        <v>Baik</v>
      </c>
      <c r="K33" s="31" t="n">
        <f aca="false">IF(OR($B33="",C33=0),"",SUMIFS(SKOR!$AS$6:$AS$55,SKOR!$AF$6:$AF$55,1)/C33)</f>
        <v>27.2307692307692</v>
      </c>
      <c r="L33" s="34" t="n">
        <f aca="false">IF(K33="","",IFERROR((K33-MEAN_SKOR)/SD_SKOR*SQRT(E33/(1-E33)),""))</f>
        <v>0.48207752501568</v>
      </c>
      <c r="M33" s="34" t="n">
        <f aca="false">IF($B33="","",R_TABEL)</f>
        <v>0.355045889177768</v>
      </c>
      <c r="N33" s="16" t="str">
        <f aca="false">IF($B33="","",IF(L33="","Tidak valid",IF(L33&gt;M33,"Valid","Tidak valid")))</f>
        <v>Valid</v>
      </c>
      <c r="O33" s="34" t="n">
        <f aca="false">IF($B33="","",E33*(1-E33))</f>
        <v>0.243496357960458</v>
      </c>
      <c r="P33" s="16" t="n">
        <f aca="false">IF($B33="","",PENGECOH!T33)</f>
        <v>3</v>
      </c>
      <c r="Q33" s="16" t="str">
        <f aca="false">IF($B33="","",IF(AND(ISNUMBER(I33),I33&lt;0),"Diganti/Dibuang",IF((N33="Valid")+AND(ISNUMBER(I33),I33&gt;DP_B1)+(F33="Sedang")=3,"Diterima",IF((N33="Valid")+AND(ISNUMBER(I33),I33&gt;DP_B1)+(F33="Sedang")=2,"Direvisi","Diganti/Dibuang"))))</f>
        <v>Diterima</v>
      </c>
      <c r="R33" s="35" t="str">
        <f aca="false">IF($B33="","",IF(AND(Q33="Diterima",P33=3),"Soal baik; dapat disimpan di bank soal",TRIM(IF(F33="Sukar","Terlalu sukar. ",IF(F33="Mudah","Terlalu mudah. ",""))&amp;IF(N33&lt;&gt;"Valid","Validitas rendah. ","")&amp;IF(AND(ISNUMBER(I33),I33&lt;0),"Daya pembeda negatif (periksa kunci). ",IF(AND(ISNUMBER(I33),I33&gt;DP_B1),"","Daya pembeda rendah. "))&amp;IF(P33&lt;3,"Ada pengecoh tidak berfungsi.",""))))</f>
        <v>Soal baik; dapat disimpan di bank soal</v>
      </c>
      <c r="S33" s="35" t="str">
        <f aca="false">IF(KUNCI!C33="","",KUNCI!C33)</f>
        <v/>
      </c>
      <c r="T33" s="36" t="n">
        <f aca="false">IF($Q33="Diterima",$A33,"")</f>
        <v>28</v>
      </c>
      <c r="U33" s="36" t="str">
        <f aca="false">IF($Q33="Direvisi",$A33,"")</f>
        <v/>
      </c>
      <c r="V33" s="36" t="str">
        <f aca="false">IF($Q33="Diganti/Dibuang",$A33,"")</f>
        <v/>
      </c>
    </row>
    <row r="34" customFormat="false" ht="15" hidden="false" customHeight="true" outlineLevel="0" collapsed="false">
      <c r="A34" s="16" t="n">
        <v>29</v>
      </c>
      <c r="B34" s="16" t="str">
        <f aca="false">IF(KUNCI!B34="","",UPPER(KUNCI!B34))</f>
        <v>D</v>
      </c>
      <c r="C34" s="16" t="n">
        <f aca="false">IF($B34="","",SUM(SKOR!$AG$6:$AG$55))</f>
        <v>17</v>
      </c>
      <c r="D34" s="16" t="n">
        <f aca="false">IF($B34="","",N_SISWA-C34)</f>
        <v>14</v>
      </c>
      <c r="E34" s="31" t="n">
        <f aca="false">IF($B34="","",IFERROR(C34/N_SISWA,""))</f>
        <v>0.548387096774194</v>
      </c>
      <c r="F34" s="16" t="str">
        <f aca="false">IF(E34="","",IF(E34&lt;=BATAS_SUKAR,"Sukar",IF(E34&lt;=BATAS_MUDAH,"Sedang","Mudah")))</f>
        <v>Sedang</v>
      </c>
      <c r="G34" s="16" t="n">
        <f aca="false">IF($B34="","",SUMIFS(SKOR!$AG$6:$AG$55,SKOR!$AW$6:$AW$55,"&lt;="&amp;N_GRUP))</f>
        <v>8</v>
      </c>
      <c r="H34" s="16" t="n">
        <f aca="false">IF($B34="","",SUMIFS(SKOR!$AG$6:$AG$55,SKOR!$AW$6:$AW$55,"&gt;"&amp;(N_SISWA-N_GRUP)))</f>
        <v>3</v>
      </c>
      <c r="I34" s="31" t="n">
        <f aca="false">IF($B34="","",IFERROR((G34-H34)/N_GRUP,""))</f>
        <v>0.625</v>
      </c>
      <c r="J34" s="16" t="str">
        <f aca="false">IF(I34="","",IF(I34&lt;0,"Sangat jelek",IF(I34&lt;=DP_B1,"Jelek",IF(I34&lt;=DP_B2,"Cukup",IF(I34&lt;=DP_B3,"Baik","Baik sekali")))))</f>
        <v>Baik</v>
      </c>
      <c r="K34" s="31" t="n">
        <f aca="false">IF(OR($B34="",C34=0),"",SUMIFS(SKOR!$AS$6:$AS$55,SKOR!$AG$6:$AG$55,1)/C34)</f>
        <v>26.7058823529412</v>
      </c>
      <c r="L34" s="34" t="n">
        <f aca="false">IF(K34="","",IFERROR((K34-MEAN_SKOR)/SD_SKOR*SQRT(E34/(1-E34)),""))</f>
        <v>0.526487485200286</v>
      </c>
      <c r="M34" s="34" t="n">
        <f aca="false">IF($B34="","",R_TABEL)</f>
        <v>0.355045889177768</v>
      </c>
      <c r="N34" s="16" t="str">
        <f aca="false">IF($B34="","",IF(L34="","Tidak valid",IF(L34&gt;M34,"Valid","Tidak valid")))</f>
        <v>Valid</v>
      </c>
      <c r="O34" s="34" t="n">
        <f aca="false">IF($B34="","",E34*(1-E34))</f>
        <v>0.247658688865765</v>
      </c>
      <c r="P34" s="16" t="n">
        <f aca="false">IF($B34="","",PENGECOH!T34)</f>
        <v>3</v>
      </c>
      <c r="Q34" s="16" t="str">
        <f aca="false">IF($B34="","",IF(AND(ISNUMBER(I34),I34&lt;0),"Diganti/Dibuang",IF((N34="Valid")+AND(ISNUMBER(I34),I34&gt;DP_B1)+(F34="Sedang")=3,"Diterima",IF((N34="Valid")+AND(ISNUMBER(I34),I34&gt;DP_B1)+(F34="Sedang")=2,"Direvisi","Diganti/Dibuang"))))</f>
        <v>Diterima</v>
      </c>
      <c r="R34" s="35" t="str">
        <f aca="false">IF($B34="","",IF(AND(Q34="Diterima",P34=3),"Soal baik; dapat disimpan di bank soal",TRIM(IF(F34="Sukar","Terlalu sukar. ",IF(F34="Mudah","Terlalu mudah. ",""))&amp;IF(N34&lt;&gt;"Valid","Validitas rendah. ","")&amp;IF(AND(ISNUMBER(I34),I34&lt;0),"Daya pembeda negatif (periksa kunci). ",IF(AND(ISNUMBER(I34),I34&gt;DP_B1),"","Daya pembeda rendah. "))&amp;IF(P34&lt;3,"Ada pengecoh tidak berfungsi.",""))))</f>
        <v>Soal baik; dapat disimpan di bank soal</v>
      </c>
      <c r="S34" s="35" t="str">
        <f aca="false">IF(KUNCI!C34="","",KUNCI!C34)</f>
        <v/>
      </c>
      <c r="T34" s="36" t="n">
        <f aca="false">IF($Q34="Diterima",$A34,"")</f>
        <v>29</v>
      </c>
      <c r="U34" s="36" t="str">
        <f aca="false">IF($Q34="Direvisi",$A34,"")</f>
        <v/>
      </c>
      <c r="V34" s="36" t="str">
        <f aca="false">IF($Q34="Diganti/Dibuang",$A34,"")</f>
        <v/>
      </c>
    </row>
    <row r="35" customFormat="false" ht="15" hidden="false" customHeight="true" outlineLevel="0" collapsed="false">
      <c r="A35" s="16" t="n">
        <v>30</v>
      </c>
      <c r="B35" s="16" t="str">
        <f aca="false">IF(KUNCI!B35="","",UPPER(KUNCI!B35))</f>
        <v>D</v>
      </c>
      <c r="C35" s="16" t="n">
        <f aca="false">IF($B35="","",SUM(SKOR!$AH$6:$AH$55))</f>
        <v>20</v>
      </c>
      <c r="D35" s="16" t="n">
        <f aca="false">IF($B35="","",N_SISWA-C35)</f>
        <v>11</v>
      </c>
      <c r="E35" s="31" t="n">
        <f aca="false">IF($B35="","",IFERROR(C35/N_SISWA,""))</f>
        <v>0.645161290322581</v>
      </c>
      <c r="F35" s="16" t="str">
        <f aca="false">IF(E35="","",IF(E35&lt;=BATAS_SUKAR,"Sukar",IF(E35&lt;=BATAS_MUDAH,"Sedang","Mudah")))</f>
        <v>Sedang</v>
      </c>
      <c r="G35" s="16" t="n">
        <f aca="false">IF($B35="","",SUMIFS(SKOR!$AH$6:$AH$55,SKOR!$AW$6:$AW$55,"&lt;="&amp;N_GRUP))</f>
        <v>7</v>
      </c>
      <c r="H35" s="16" t="n">
        <f aca="false">IF($B35="","",SUMIFS(SKOR!$AH$6:$AH$55,SKOR!$AW$6:$AW$55,"&gt;"&amp;(N_SISWA-N_GRUP)))</f>
        <v>4</v>
      </c>
      <c r="I35" s="31" t="n">
        <f aca="false">IF($B35="","",IFERROR((G35-H35)/N_GRUP,""))</f>
        <v>0.375</v>
      </c>
      <c r="J35" s="16" t="str">
        <f aca="false">IF(I35="","",IF(I35&lt;0,"Sangat jelek",IF(I35&lt;=DP_B1,"Jelek",IF(I35&lt;=DP_B2,"Cukup",IF(I35&lt;=DP_B3,"Baik","Baik sekali")))))</f>
        <v>Cukup</v>
      </c>
      <c r="K35" s="31" t="n">
        <f aca="false">IF(OR($B35="",C35=0),"",SUMIFS(SKOR!$AS$6:$AS$55,SKOR!$AH$6:$AH$55,1)/C35)</f>
        <v>25.15</v>
      </c>
      <c r="L35" s="34" t="n">
        <f aca="false">IF(K35="","",IFERROR((K35-MEAN_SKOR)/SD_SKOR*SQRT(E35/(1-E35)),""))</f>
        <v>0.286592083017363</v>
      </c>
      <c r="M35" s="34" t="n">
        <f aca="false">IF($B35="","",R_TABEL)</f>
        <v>0.355045889177768</v>
      </c>
      <c r="N35" s="16" t="str">
        <f aca="false">IF($B35="","",IF(L35="","Tidak valid",IF(L35&gt;M35,"Valid","Tidak valid")))</f>
        <v>Tidak valid</v>
      </c>
      <c r="O35" s="34" t="n">
        <f aca="false">IF($B35="","",E35*(1-E35))</f>
        <v>0.228928199791883</v>
      </c>
      <c r="P35" s="16" t="n">
        <f aca="false">IF($B35="","",PENGECOH!T35)</f>
        <v>2</v>
      </c>
      <c r="Q35" s="16" t="str">
        <f aca="false">IF($B35="","",IF(AND(ISNUMBER(I35),I35&lt;0),"Diganti/Dibuang",IF((N35="Valid")+AND(ISNUMBER(I35),I35&gt;DP_B1)+(F35="Sedang")=3,"Diterima",IF((N35="Valid")+AND(ISNUMBER(I35),I35&gt;DP_B1)+(F35="Sedang")=2,"Direvisi","Diganti/Dibuang"))))</f>
        <v>Direvisi</v>
      </c>
      <c r="R35" s="35" t="str">
        <f aca="false">IF($B35="","",IF(AND(Q35="Diterima",P35=3),"Soal baik; dapat disimpan di bank soal",TRIM(IF(F35="Sukar","Terlalu sukar. ",IF(F35="Mudah","Terlalu mudah. ",""))&amp;IF(N35&lt;&gt;"Valid","Validitas rendah. ","")&amp;IF(AND(ISNUMBER(I35),I35&lt;0),"Daya pembeda negatif (periksa kunci). ",IF(AND(ISNUMBER(I35),I35&gt;DP_B1),"","Daya pembeda rendah. "))&amp;IF(P35&lt;3,"Ada pengecoh tidak berfungsi.",""))))</f>
        <v>Validitas rendah. Ada pengecoh tidak berfungsi.</v>
      </c>
      <c r="S35" s="35" t="str">
        <f aca="false">IF(KUNCI!C35="","",KUNCI!C35)</f>
        <v/>
      </c>
      <c r="T35" s="36" t="str">
        <f aca="false">IF($Q35="Diterima",$A35,"")</f>
        <v/>
      </c>
      <c r="U35" s="36" t="n">
        <f aca="false">IF($Q35="Direvisi",$A35,"")</f>
        <v>30</v>
      </c>
      <c r="V35" s="36" t="str">
        <f aca="false">IF($Q35="Diganti/Dibuang",$A35,"")</f>
        <v/>
      </c>
    </row>
    <row r="36" customFormat="false" ht="23.25" hidden="false" customHeight="true" outlineLevel="0" collapsed="false">
      <c r="A36" s="16" t="n">
        <v>31</v>
      </c>
      <c r="B36" s="16" t="str">
        <f aca="false">IF(KUNCI!B36="","",UPPER(KUNCI!B36))</f>
        <v>B</v>
      </c>
      <c r="C36" s="16" t="n">
        <f aca="false">IF($B36="","",SUM(SKOR!$AI$6:$AI$55))</f>
        <v>20</v>
      </c>
      <c r="D36" s="16" t="n">
        <f aca="false">IF($B36="","",N_SISWA-C36)</f>
        <v>11</v>
      </c>
      <c r="E36" s="31" t="n">
        <f aca="false">IF($B36="","",IFERROR(C36/N_SISWA,""))</f>
        <v>0.645161290322581</v>
      </c>
      <c r="F36" s="16" t="str">
        <f aca="false">IF(E36="","",IF(E36&lt;=BATAS_SUKAR,"Sukar",IF(E36&lt;=BATAS_MUDAH,"Sedang","Mudah")))</f>
        <v>Sedang</v>
      </c>
      <c r="G36" s="16" t="n">
        <f aca="false">IF($B36="","",SUMIFS(SKOR!$AI$6:$AI$55,SKOR!$AW$6:$AW$55,"&lt;="&amp;N_GRUP))</f>
        <v>5</v>
      </c>
      <c r="H36" s="16" t="n">
        <f aca="false">IF($B36="","",SUMIFS(SKOR!$AI$6:$AI$55,SKOR!$AW$6:$AW$55,"&gt;"&amp;(N_SISWA-N_GRUP)))</f>
        <v>4</v>
      </c>
      <c r="I36" s="31" t="n">
        <f aca="false">IF($B36="","",IFERROR((G36-H36)/N_GRUP,""))</f>
        <v>0.125</v>
      </c>
      <c r="J36" s="16" t="str">
        <f aca="false">IF(I36="","",IF(I36&lt;0,"Sangat jelek",IF(I36&lt;=DP_B1,"Jelek",IF(I36&lt;=DP_B2,"Cukup",IF(I36&lt;=DP_B3,"Baik","Baik sekali")))))</f>
        <v>Jelek</v>
      </c>
      <c r="K36" s="31" t="n">
        <f aca="false">IF(OR($B36="",C36=0),"",SUMIFS(SKOR!$AS$6:$AS$55,SKOR!$AI$6:$AI$55,1)/C36)</f>
        <v>24.8</v>
      </c>
      <c r="L36" s="34" t="n">
        <f aca="false">IF(K36="","",IFERROR((K36-MEAN_SKOR)/SD_SKOR*SQRT(E36/(1-E36)),""))</f>
        <v>0.206138678082347</v>
      </c>
      <c r="M36" s="34" t="n">
        <f aca="false">IF($B36="","",R_TABEL)</f>
        <v>0.355045889177768</v>
      </c>
      <c r="N36" s="16" t="str">
        <f aca="false">IF($B36="","",IF(L36="","Tidak valid",IF(L36&gt;M36,"Valid","Tidak valid")))</f>
        <v>Tidak valid</v>
      </c>
      <c r="O36" s="34" t="n">
        <f aca="false">IF($B36="","",E36*(1-E36))</f>
        <v>0.228928199791883</v>
      </c>
      <c r="P36" s="16" t="n">
        <f aca="false">IF($B36="","",PENGECOH!T36)</f>
        <v>3</v>
      </c>
      <c r="Q36" s="16" t="str">
        <f aca="false">IF($B36="","",IF(AND(ISNUMBER(I36),I36&lt;0),"Diganti/Dibuang",IF((N36="Valid")+AND(ISNUMBER(I36),I36&gt;DP_B1)+(F36="Sedang")=3,"Diterima",IF((N36="Valid")+AND(ISNUMBER(I36),I36&gt;DP_B1)+(F36="Sedang")=2,"Direvisi","Diganti/Dibuang"))))</f>
        <v>Diganti/Dibuang</v>
      </c>
      <c r="R36" s="35" t="str">
        <f aca="false">IF($B36="","",IF(AND(Q36="Diterima",P36=3),"Soal baik; dapat disimpan di bank soal",TRIM(IF(F36="Sukar","Terlalu sukar. ",IF(F36="Mudah","Terlalu mudah. ",""))&amp;IF(N36&lt;&gt;"Valid","Validitas rendah. ","")&amp;IF(AND(ISNUMBER(I36),I36&lt;0),"Daya pembeda negatif (periksa kunci). ",IF(AND(ISNUMBER(I36),I36&gt;DP_B1),"","Daya pembeda rendah. "))&amp;IF(P36&lt;3,"Ada pengecoh tidak berfungsi.",""))))</f>
        <v>Validitas rendah. Daya pembeda rendah.</v>
      </c>
      <c r="S36" s="35" t="str">
        <f aca="false">IF(KUNCI!C36="","",KUNCI!C36)</f>
        <v/>
      </c>
      <c r="T36" s="36" t="str">
        <f aca="false">IF($Q36="Diterima",$A36,"")</f>
        <v/>
      </c>
      <c r="U36" s="36" t="str">
        <f aca="false">IF($Q36="Direvisi",$A36,"")</f>
        <v/>
      </c>
      <c r="V36" s="36" t="n">
        <f aca="false">IF($Q36="Diganti/Dibuang",$A36,"")</f>
        <v>31</v>
      </c>
    </row>
    <row r="37" customFormat="false" ht="15" hidden="false" customHeight="true" outlineLevel="0" collapsed="false">
      <c r="A37" s="16" t="n">
        <v>32</v>
      </c>
      <c r="B37" s="16" t="str">
        <f aca="false">IF(KUNCI!B37="","",UPPER(KUNCI!B37))</f>
        <v>B</v>
      </c>
      <c r="C37" s="16" t="n">
        <f aca="false">IF($B37="","",SUM(SKOR!$AJ$6:$AJ$55))</f>
        <v>21</v>
      </c>
      <c r="D37" s="16" t="n">
        <f aca="false">IF($B37="","",N_SISWA-C37)</f>
        <v>10</v>
      </c>
      <c r="E37" s="31" t="n">
        <f aca="false">IF($B37="","",IFERROR(C37/N_SISWA,""))</f>
        <v>0.67741935483871</v>
      </c>
      <c r="F37" s="16" t="str">
        <f aca="false">IF(E37="","",IF(E37&lt;=BATAS_SUKAR,"Sukar",IF(E37&lt;=BATAS_MUDAH,"Sedang","Mudah")))</f>
        <v>Sedang</v>
      </c>
      <c r="G37" s="16" t="n">
        <f aca="false">IF($B37="","",SUMIFS(SKOR!$AJ$6:$AJ$55,SKOR!$AW$6:$AW$55,"&lt;="&amp;N_GRUP))</f>
        <v>6</v>
      </c>
      <c r="H37" s="16" t="n">
        <f aca="false">IF($B37="","",SUMIFS(SKOR!$AJ$6:$AJ$55,SKOR!$AW$6:$AW$55,"&gt;"&amp;(N_SISWA-N_GRUP)))</f>
        <v>4</v>
      </c>
      <c r="I37" s="31" t="n">
        <f aca="false">IF($B37="","",IFERROR((G37-H37)/N_GRUP,""))</f>
        <v>0.25</v>
      </c>
      <c r="J37" s="16" t="str">
        <f aca="false">IF(I37="","",IF(I37&lt;0,"Sangat jelek",IF(I37&lt;=DP_B1,"Jelek",IF(I37&lt;=DP_B2,"Cukup",IF(I37&lt;=DP_B3,"Baik","Baik sekali")))))</f>
        <v>Cukup</v>
      </c>
      <c r="K37" s="31" t="n">
        <f aca="false">IF(OR($B37="",C37=0),"",SUMIFS(SKOR!$AS$6:$AS$55,SKOR!$AJ$6:$AJ$55,1)/C37)</f>
        <v>24.6190476190476</v>
      </c>
      <c r="L37" s="34" t="n">
        <f aca="false">IF(K37="","",IFERROR((K37-MEAN_SKOR)/SD_SKOR*SQRT(E37/(1-E37)),""))</f>
        <v>0.176836660515072</v>
      </c>
      <c r="M37" s="34" t="n">
        <f aca="false">IF($B37="","",R_TABEL)</f>
        <v>0.355045889177768</v>
      </c>
      <c r="N37" s="16" t="str">
        <f aca="false">IF($B37="","",IF(L37="","Tidak valid",IF(L37&gt;M37,"Valid","Tidak valid")))</f>
        <v>Tidak valid</v>
      </c>
      <c r="O37" s="34" t="n">
        <f aca="false">IF($B37="","",E37*(1-E37))</f>
        <v>0.218522372528616</v>
      </c>
      <c r="P37" s="16" t="n">
        <f aca="false">IF($B37="","",PENGECOH!T37)</f>
        <v>3</v>
      </c>
      <c r="Q37" s="16" t="str">
        <f aca="false">IF($B37="","",IF(AND(ISNUMBER(I37),I37&lt;0),"Diganti/Dibuang",IF((N37="Valid")+AND(ISNUMBER(I37),I37&gt;DP_B1)+(F37="Sedang")=3,"Diterima",IF((N37="Valid")+AND(ISNUMBER(I37),I37&gt;DP_B1)+(F37="Sedang")=2,"Direvisi","Diganti/Dibuang"))))</f>
        <v>Direvisi</v>
      </c>
      <c r="R37" s="35" t="str">
        <f aca="false">IF($B37="","",IF(AND(Q37="Diterima",P37=3),"Soal baik; dapat disimpan di bank soal",TRIM(IF(F37="Sukar","Terlalu sukar. ",IF(F37="Mudah","Terlalu mudah. ",""))&amp;IF(N37&lt;&gt;"Valid","Validitas rendah. ","")&amp;IF(AND(ISNUMBER(I37),I37&lt;0),"Daya pembeda negatif (periksa kunci). ",IF(AND(ISNUMBER(I37),I37&gt;DP_B1),"","Daya pembeda rendah. "))&amp;IF(P37&lt;3,"Ada pengecoh tidak berfungsi.",""))))</f>
        <v>Validitas rendah.</v>
      </c>
      <c r="S37" s="35" t="str">
        <f aca="false">IF(KUNCI!C37="","",KUNCI!C37)</f>
        <v/>
      </c>
      <c r="T37" s="36" t="str">
        <f aca="false">IF($Q37="Diterima",$A37,"")</f>
        <v/>
      </c>
      <c r="U37" s="36" t="n">
        <f aca="false">IF($Q37="Direvisi",$A37,"")</f>
        <v>32</v>
      </c>
      <c r="V37" s="36" t="str">
        <f aca="false">IF($Q37="Diganti/Dibuang",$A37,"")</f>
        <v/>
      </c>
    </row>
    <row r="38" customFormat="false" ht="15" hidden="false" customHeight="true" outlineLevel="0" collapsed="false">
      <c r="A38" s="16" t="n">
        <v>33</v>
      </c>
      <c r="B38" s="16" t="str">
        <f aca="false">IF(KUNCI!B38="","",UPPER(KUNCI!B38))</f>
        <v>D</v>
      </c>
      <c r="C38" s="16" t="n">
        <f aca="false">IF($B38="","",SUM(SKOR!$AK$6:$AK$55))</f>
        <v>18</v>
      </c>
      <c r="D38" s="16" t="n">
        <f aca="false">IF($B38="","",N_SISWA-C38)</f>
        <v>13</v>
      </c>
      <c r="E38" s="31" t="n">
        <f aca="false">IF($B38="","",IFERROR(C38/N_SISWA,""))</f>
        <v>0.580645161290323</v>
      </c>
      <c r="F38" s="16" t="str">
        <f aca="false">IF(E38="","",IF(E38&lt;=BATAS_SUKAR,"Sukar",IF(E38&lt;=BATAS_MUDAH,"Sedang","Mudah")))</f>
        <v>Sedang</v>
      </c>
      <c r="G38" s="16" t="n">
        <f aca="false">IF($B38="","",SUMIFS(SKOR!$AK$6:$AK$55,SKOR!$AW$6:$AW$55,"&lt;="&amp;N_GRUP))</f>
        <v>5</v>
      </c>
      <c r="H38" s="16" t="n">
        <f aca="false">IF($B38="","",SUMIFS(SKOR!$AK$6:$AK$55,SKOR!$AW$6:$AW$55,"&gt;"&amp;(N_SISWA-N_GRUP)))</f>
        <v>3</v>
      </c>
      <c r="I38" s="31" t="n">
        <f aca="false">IF($B38="","",IFERROR((G38-H38)/N_GRUP,""))</f>
        <v>0.25</v>
      </c>
      <c r="J38" s="16" t="str">
        <f aca="false">IF(I38="","",IF(I38&lt;0,"Sangat jelek",IF(I38&lt;=DP_B1,"Jelek",IF(I38&lt;=DP_B2,"Cukup",IF(I38&lt;=DP_B3,"Baik","Baik sekali")))))</f>
        <v>Cukup</v>
      </c>
      <c r="K38" s="31" t="n">
        <f aca="false">IF(OR($B38="",C38=0),"",SUMIFS(SKOR!$AS$6:$AS$55,SKOR!$AK$6:$AK$55,1)/C38)</f>
        <v>24.8333333333333</v>
      </c>
      <c r="L38" s="34" t="n">
        <f aca="false">IF(K38="","",IFERROR((K38-MEAN_SKOR)/SD_SKOR*SQRT(E38/(1-E38)),""))</f>
        <v>0.186575865386382</v>
      </c>
      <c r="M38" s="34" t="n">
        <f aca="false">IF($B38="","",R_TABEL)</f>
        <v>0.355045889177768</v>
      </c>
      <c r="N38" s="16" t="str">
        <f aca="false">IF($B38="","",IF(L38="","Tidak valid",IF(L38&gt;M38,"Valid","Tidak valid")))</f>
        <v>Tidak valid</v>
      </c>
      <c r="O38" s="34" t="n">
        <f aca="false">IF($B38="","",E38*(1-E38))</f>
        <v>0.243496357960458</v>
      </c>
      <c r="P38" s="16" t="n">
        <f aca="false">IF($B38="","",PENGECOH!T38)</f>
        <v>3</v>
      </c>
      <c r="Q38" s="16" t="str">
        <f aca="false">IF($B38="","",IF(AND(ISNUMBER(I38),I38&lt;0),"Diganti/Dibuang",IF((N38="Valid")+AND(ISNUMBER(I38),I38&gt;DP_B1)+(F38="Sedang")=3,"Diterima",IF((N38="Valid")+AND(ISNUMBER(I38),I38&gt;DP_B1)+(F38="Sedang")=2,"Direvisi","Diganti/Dibuang"))))</f>
        <v>Direvisi</v>
      </c>
      <c r="R38" s="35" t="str">
        <f aca="false">IF($B38="","",IF(AND(Q38="Diterima",P38=3),"Soal baik; dapat disimpan di bank soal",TRIM(IF(F38="Sukar","Terlalu sukar. ",IF(F38="Mudah","Terlalu mudah. ",""))&amp;IF(N38&lt;&gt;"Valid","Validitas rendah. ","")&amp;IF(AND(ISNUMBER(I38),I38&lt;0),"Daya pembeda negatif (periksa kunci). ",IF(AND(ISNUMBER(I38),I38&gt;DP_B1),"","Daya pembeda rendah. "))&amp;IF(P38&lt;3,"Ada pengecoh tidak berfungsi.",""))))</f>
        <v>Validitas rendah.</v>
      </c>
      <c r="S38" s="35" t="str">
        <f aca="false">IF(KUNCI!C38="","",KUNCI!C38)</f>
        <v/>
      </c>
      <c r="T38" s="36" t="str">
        <f aca="false">IF($Q38="Diterima",$A38,"")</f>
        <v/>
      </c>
      <c r="U38" s="36" t="n">
        <f aca="false">IF($Q38="Direvisi",$A38,"")</f>
        <v>33</v>
      </c>
      <c r="V38" s="36" t="str">
        <f aca="false">IF($Q38="Diganti/Dibuang",$A38,"")</f>
        <v/>
      </c>
    </row>
    <row r="39" customFormat="false" ht="15" hidden="false" customHeight="true" outlineLevel="0" collapsed="false">
      <c r="A39" s="16" t="n">
        <v>34</v>
      </c>
      <c r="B39" s="16" t="str">
        <f aca="false">IF(KUNCI!B39="","",UPPER(KUNCI!B39))</f>
        <v>B</v>
      </c>
      <c r="C39" s="16" t="n">
        <f aca="false">IF($B39="","",SUM(SKOR!$AL$6:$AL$55))</f>
        <v>20</v>
      </c>
      <c r="D39" s="16" t="n">
        <f aca="false">IF($B39="","",N_SISWA-C39)</f>
        <v>11</v>
      </c>
      <c r="E39" s="31" t="n">
        <f aca="false">IF($B39="","",IFERROR(C39/N_SISWA,""))</f>
        <v>0.645161290322581</v>
      </c>
      <c r="F39" s="16" t="str">
        <f aca="false">IF(E39="","",IF(E39&lt;=BATAS_SUKAR,"Sukar",IF(E39&lt;=BATAS_MUDAH,"Sedang","Mudah")))</f>
        <v>Sedang</v>
      </c>
      <c r="G39" s="16" t="n">
        <f aca="false">IF($B39="","",SUMIFS(SKOR!$AL$6:$AL$55,SKOR!$AW$6:$AW$55,"&lt;="&amp;N_GRUP))</f>
        <v>6</v>
      </c>
      <c r="H39" s="16" t="n">
        <f aca="false">IF($B39="","",SUMIFS(SKOR!$AL$6:$AL$55,SKOR!$AW$6:$AW$55,"&gt;"&amp;(N_SISWA-N_GRUP)))</f>
        <v>2</v>
      </c>
      <c r="I39" s="31" t="n">
        <f aca="false">IF($B39="","",IFERROR((G39-H39)/N_GRUP,""))</f>
        <v>0.5</v>
      </c>
      <c r="J39" s="16" t="str">
        <f aca="false">IF(I39="","",IF(I39&lt;0,"Sangat jelek",IF(I39&lt;=DP_B1,"Jelek",IF(I39&lt;=DP_B2,"Cukup",IF(I39&lt;=DP_B3,"Baik","Baik sekali")))))</f>
        <v>Baik</v>
      </c>
      <c r="K39" s="31" t="n">
        <f aca="false">IF(OR($B39="",C39=0),"",SUMIFS(SKOR!$AS$6:$AS$55,SKOR!$AL$6:$AL$55,1)/C39)</f>
        <v>25.1</v>
      </c>
      <c r="L39" s="34" t="n">
        <f aca="false">IF(K39="","",IFERROR((K39-MEAN_SKOR)/SD_SKOR*SQRT(E39/(1-E39)),""))</f>
        <v>0.275098739455219</v>
      </c>
      <c r="M39" s="34" t="n">
        <f aca="false">IF($B39="","",R_TABEL)</f>
        <v>0.355045889177768</v>
      </c>
      <c r="N39" s="16" t="str">
        <f aca="false">IF($B39="","",IF(L39="","Tidak valid",IF(L39&gt;M39,"Valid","Tidak valid")))</f>
        <v>Tidak valid</v>
      </c>
      <c r="O39" s="34" t="n">
        <f aca="false">IF($B39="","",E39*(1-E39))</f>
        <v>0.228928199791883</v>
      </c>
      <c r="P39" s="16" t="n">
        <f aca="false">IF($B39="","",PENGECOH!T39)</f>
        <v>3</v>
      </c>
      <c r="Q39" s="16" t="str">
        <f aca="false">IF($B39="","",IF(AND(ISNUMBER(I39),I39&lt;0),"Diganti/Dibuang",IF((N39="Valid")+AND(ISNUMBER(I39),I39&gt;DP_B1)+(F39="Sedang")=3,"Diterima",IF((N39="Valid")+AND(ISNUMBER(I39),I39&gt;DP_B1)+(F39="Sedang")=2,"Direvisi","Diganti/Dibuang"))))</f>
        <v>Direvisi</v>
      </c>
      <c r="R39" s="35" t="str">
        <f aca="false">IF($B39="","",IF(AND(Q39="Diterima",P39=3),"Soal baik; dapat disimpan di bank soal",TRIM(IF(F39="Sukar","Terlalu sukar. ",IF(F39="Mudah","Terlalu mudah. ",""))&amp;IF(N39&lt;&gt;"Valid","Validitas rendah. ","")&amp;IF(AND(ISNUMBER(I39),I39&lt;0),"Daya pembeda negatif (periksa kunci). ",IF(AND(ISNUMBER(I39),I39&gt;DP_B1),"","Daya pembeda rendah. "))&amp;IF(P39&lt;3,"Ada pengecoh tidak berfungsi.",""))))</f>
        <v>Validitas rendah.</v>
      </c>
      <c r="S39" s="35" t="str">
        <f aca="false">IF(KUNCI!C39="","",KUNCI!C39)</f>
        <v/>
      </c>
      <c r="T39" s="36" t="str">
        <f aca="false">IF($Q39="Diterima",$A39,"")</f>
        <v/>
      </c>
      <c r="U39" s="36" t="n">
        <f aca="false">IF($Q39="Direvisi",$A39,"")</f>
        <v>34</v>
      </c>
      <c r="V39" s="36" t="str">
        <f aca="false">IF($Q39="Diganti/Dibuang",$A39,"")</f>
        <v/>
      </c>
    </row>
    <row r="40" customFormat="false" ht="15" hidden="false" customHeight="true" outlineLevel="0" collapsed="false">
      <c r="A40" s="16" t="n">
        <v>35</v>
      </c>
      <c r="B40" s="16" t="str">
        <f aca="false">IF(KUNCI!B40="","",UPPER(KUNCI!B40))</f>
        <v>A</v>
      </c>
      <c r="C40" s="16" t="n">
        <f aca="false">IF($B40="","",SUM(SKOR!$AM$6:$AM$55))</f>
        <v>20</v>
      </c>
      <c r="D40" s="16" t="n">
        <f aca="false">IF($B40="","",N_SISWA-C40)</f>
        <v>11</v>
      </c>
      <c r="E40" s="31" t="n">
        <f aca="false">IF($B40="","",IFERROR(C40/N_SISWA,""))</f>
        <v>0.645161290322581</v>
      </c>
      <c r="F40" s="16" t="str">
        <f aca="false">IF(E40="","",IF(E40&lt;=BATAS_SUKAR,"Sukar",IF(E40&lt;=BATAS_MUDAH,"Sedang","Mudah")))</f>
        <v>Sedang</v>
      </c>
      <c r="G40" s="16" t="n">
        <f aca="false">IF($B40="","",SUMIFS(SKOR!$AM$6:$AM$55,SKOR!$AW$6:$AW$55,"&lt;="&amp;N_GRUP))</f>
        <v>8</v>
      </c>
      <c r="H40" s="16" t="n">
        <f aca="false">IF($B40="","",SUMIFS(SKOR!$AM$6:$AM$55,SKOR!$AW$6:$AW$55,"&gt;"&amp;(N_SISWA-N_GRUP)))</f>
        <v>3</v>
      </c>
      <c r="I40" s="31" t="n">
        <f aca="false">IF($B40="","",IFERROR((G40-H40)/N_GRUP,""))</f>
        <v>0.625</v>
      </c>
      <c r="J40" s="16" t="str">
        <f aca="false">IF(I40="","",IF(I40&lt;0,"Sangat jelek",IF(I40&lt;=DP_B1,"Jelek",IF(I40&lt;=DP_B2,"Cukup",IF(I40&lt;=DP_B3,"Baik","Baik sekali")))))</f>
        <v>Baik</v>
      </c>
      <c r="K40" s="31" t="n">
        <f aca="false">IF(OR($B40="",C40=0),"",SUMIFS(SKOR!$AS$6:$AS$55,SKOR!$AM$6:$AM$55,1)/C40)</f>
        <v>26.05</v>
      </c>
      <c r="L40" s="34" t="n">
        <f aca="false">IF(K40="","",IFERROR((K40-MEAN_SKOR)/SD_SKOR*SQRT(E40/(1-E40)),""))</f>
        <v>0.493472267135978</v>
      </c>
      <c r="M40" s="34" t="n">
        <f aca="false">IF($B40="","",R_TABEL)</f>
        <v>0.355045889177768</v>
      </c>
      <c r="N40" s="16" t="str">
        <f aca="false">IF($B40="","",IF(L40="","Tidak valid",IF(L40&gt;M40,"Valid","Tidak valid")))</f>
        <v>Valid</v>
      </c>
      <c r="O40" s="34" t="n">
        <f aca="false">IF($B40="","",E40*(1-E40))</f>
        <v>0.228928199791883</v>
      </c>
      <c r="P40" s="16" t="n">
        <f aca="false">IF($B40="","",PENGECOH!T40)</f>
        <v>3</v>
      </c>
      <c r="Q40" s="16" t="str">
        <f aca="false">IF($B40="","",IF(AND(ISNUMBER(I40),I40&lt;0),"Diganti/Dibuang",IF((N40="Valid")+AND(ISNUMBER(I40),I40&gt;DP_B1)+(F40="Sedang")=3,"Diterima",IF((N40="Valid")+AND(ISNUMBER(I40),I40&gt;DP_B1)+(F40="Sedang")=2,"Direvisi","Diganti/Dibuang"))))</f>
        <v>Diterima</v>
      </c>
      <c r="R40" s="35" t="str">
        <f aca="false">IF($B40="","",IF(AND(Q40="Diterima",P40=3),"Soal baik; dapat disimpan di bank soal",TRIM(IF(F40="Sukar","Terlalu sukar. ",IF(F40="Mudah","Terlalu mudah. ",""))&amp;IF(N40&lt;&gt;"Valid","Validitas rendah. ","")&amp;IF(AND(ISNUMBER(I40),I40&lt;0),"Daya pembeda negatif (periksa kunci). ",IF(AND(ISNUMBER(I40),I40&gt;DP_B1),"","Daya pembeda rendah. "))&amp;IF(P40&lt;3,"Ada pengecoh tidak berfungsi.",""))))</f>
        <v>Soal baik; dapat disimpan di bank soal</v>
      </c>
      <c r="S40" s="35" t="str">
        <f aca="false">IF(KUNCI!C40="","",KUNCI!C40)</f>
        <v/>
      </c>
      <c r="T40" s="36" t="n">
        <f aca="false">IF($Q40="Diterima",$A40,"")</f>
        <v>35</v>
      </c>
      <c r="U40" s="36" t="str">
        <f aca="false">IF($Q40="Direvisi",$A40,"")</f>
        <v/>
      </c>
      <c r="V40" s="36" t="str">
        <f aca="false">IF($Q40="Diganti/Dibuang",$A40,"")</f>
        <v/>
      </c>
    </row>
    <row r="41" customFormat="false" ht="15" hidden="false" customHeight="true" outlineLevel="0" collapsed="false">
      <c r="A41" s="16" t="n">
        <v>36</v>
      </c>
      <c r="B41" s="16" t="str">
        <f aca="false">IF(KUNCI!B41="","",UPPER(KUNCI!B41))</f>
        <v>B</v>
      </c>
      <c r="C41" s="16" t="n">
        <f aca="false">IF($B41="","",SUM(SKOR!$AN$6:$AN$55))</f>
        <v>19</v>
      </c>
      <c r="D41" s="16" t="n">
        <f aca="false">IF($B41="","",N_SISWA-C41)</f>
        <v>12</v>
      </c>
      <c r="E41" s="31" t="n">
        <f aca="false">IF($B41="","",IFERROR(C41/N_SISWA,""))</f>
        <v>0.612903225806452</v>
      </c>
      <c r="F41" s="16" t="str">
        <f aca="false">IF(E41="","",IF(E41&lt;=BATAS_SUKAR,"Sukar",IF(E41&lt;=BATAS_MUDAH,"Sedang","Mudah")))</f>
        <v>Sedang</v>
      </c>
      <c r="G41" s="16" t="n">
        <f aca="false">IF($B41="","",SUMIFS(SKOR!$AN$6:$AN$55,SKOR!$AW$6:$AW$55,"&lt;="&amp;N_GRUP))</f>
        <v>7</v>
      </c>
      <c r="H41" s="16" t="n">
        <f aca="false">IF($B41="","",SUMIFS(SKOR!$AN$6:$AN$55,SKOR!$AW$6:$AW$55,"&gt;"&amp;(N_SISWA-N_GRUP)))</f>
        <v>4</v>
      </c>
      <c r="I41" s="31" t="n">
        <f aca="false">IF($B41="","",IFERROR((G41-H41)/N_GRUP,""))</f>
        <v>0.375</v>
      </c>
      <c r="J41" s="16" t="str">
        <f aca="false">IF(I41="","",IF(I41&lt;0,"Sangat jelek",IF(I41&lt;=DP_B1,"Jelek",IF(I41&lt;=DP_B2,"Cukup",IF(I41&lt;=DP_B3,"Baik","Baik sekali")))))</f>
        <v>Cukup</v>
      </c>
      <c r="K41" s="31" t="n">
        <f aca="false">IF(OR($B41="",C41=0),"",SUMIFS(SKOR!$AS$6:$AS$55,SKOR!$AN$6:$AN$55,1)/C41)</f>
        <v>25.4736842105263</v>
      </c>
      <c r="L41" s="34" t="n">
        <f aca="false">IF(K41="","",IFERROR((K41-MEAN_SKOR)/SD_SKOR*SQRT(E41/(1-E41)),""))</f>
        <v>0.336876211798081</v>
      </c>
      <c r="M41" s="34" t="n">
        <f aca="false">IF($B41="","",R_TABEL)</f>
        <v>0.355045889177768</v>
      </c>
      <c r="N41" s="16" t="str">
        <f aca="false">IF($B41="","",IF(L41="","Tidak valid",IF(L41&gt;M41,"Valid","Tidak valid")))</f>
        <v>Tidak valid</v>
      </c>
      <c r="O41" s="34" t="n">
        <f aca="false">IF($B41="","",E41*(1-E41))</f>
        <v>0.237252861602497</v>
      </c>
      <c r="P41" s="16" t="n">
        <f aca="false">IF($B41="","",PENGECOH!T41)</f>
        <v>3</v>
      </c>
      <c r="Q41" s="16" t="str">
        <f aca="false">IF($B41="","",IF(AND(ISNUMBER(I41),I41&lt;0),"Diganti/Dibuang",IF((N41="Valid")+AND(ISNUMBER(I41),I41&gt;DP_B1)+(F41="Sedang")=3,"Diterima",IF((N41="Valid")+AND(ISNUMBER(I41),I41&gt;DP_B1)+(F41="Sedang")=2,"Direvisi","Diganti/Dibuang"))))</f>
        <v>Direvisi</v>
      </c>
      <c r="R41" s="35" t="str">
        <f aca="false">IF($B41="","",IF(AND(Q41="Diterima",P41=3),"Soal baik; dapat disimpan di bank soal",TRIM(IF(F41="Sukar","Terlalu sukar. ",IF(F41="Mudah","Terlalu mudah. ",""))&amp;IF(N41&lt;&gt;"Valid","Validitas rendah. ","")&amp;IF(AND(ISNUMBER(I41),I41&lt;0),"Daya pembeda negatif (periksa kunci). ",IF(AND(ISNUMBER(I41),I41&gt;DP_B1),"","Daya pembeda rendah. "))&amp;IF(P41&lt;3,"Ada pengecoh tidak berfungsi.",""))))</f>
        <v>Validitas rendah.</v>
      </c>
      <c r="S41" s="35" t="str">
        <f aca="false">IF(KUNCI!C41="","",KUNCI!C41)</f>
        <v/>
      </c>
      <c r="T41" s="36" t="str">
        <f aca="false">IF($Q41="Diterima",$A41,"")</f>
        <v/>
      </c>
      <c r="U41" s="36" t="n">
        <f aca="false">IF($Q41="Direvisi",$A41,"")</f>
        <v>36</v>
      </c>
      <c r="V41" s="36" t="str">
        <f aca="false">IF($Q41="Diganti/Dibuang",$A41,"")</f>
        <v/>
      </c>
    </row>
    <row r="42" customFormat="false" ht="15" hidden="false" customHeight="true" outlineLevel="0" collapsed="false">
      <c r="A42" s="16" t="n">
        <v>37</v>
      </c>
      <c r="B42" s="16" t="str">
        <f aca="false">IF(KUNCI!B42="","",UPPER(KUNCI!B42))</f>
        <v>B</v>
      </c>
      <c r="C42" s="16" t="n">
        <f aca="false">IF($B42="","",SUM(SKOR!$AO$6:$AO$55))</f>
        <v>16</v>
      </c>
      <c r="D42" s="16" t="n">
        <f aca="false">IF($B42="","",N_SISWA-C42)</f>
        <v>15</v>
      </c>
      <c r="E42" s="31" t="n">
        <f aca="false">IF($B42="","",IFERROR(C42/N_SISWA,""))</f>
        <v>0.516129032258065</v>
      </c>
      <c r="F42" s="16" t="str">
        <f aca="false">IF(E42="","",IF(E42&lt;=BATAS_SUKAR,"Sukar",IF(E42&lt;=BATAS_MUDAH,"Sedang","Mudah")))</f>
        <v>Sedang</v>
      </c>
      <c r="G42" s="16" t="n">
        <f aca="false">IF($B42="","",SUMIFS(SKOR!$AO$6:$AO$55,SKOR!$AW$6:$AW$55,"&lt;="&amp;N_GRUP))</f>
        <v>8</v>
      </c>
      <c r="H42" s="16" t="n">
        <f aca="false">IF($B42="","",SUMIFS(SKOR!$AO$6:$AO$55,SKOR!$AW$6:$AW$55,"&gt;"&amp;(N_SISWA-N_GRUP)))</f>
        <v>4</v>
      </c>
      <c r="I42" s="31" t="n">
        <f aca="false">IF($B42="","",IFERROR((G42-H42)/N_GRUP,""))</f>
        <v>0.5</v>
      </c>
      <c r="J42" s="16" t="str">
        <f aca="false">IF(I42="","",IF(I42&lt;0,"Sangat jelek",IF(I42&lt;=DP_B1,"Jelek",IF(I42&lt;=DP_B2,"Cukup",IF(I42&lt;=DP_B3,"Baik","Baik sekali")))))</f>
        <v>Baik</v>
      </c>
      <c r="K42" s="31" t="n">
        <f aca="false">IF(OR($B42="",C42=0),"",SUMIFS(SKOR!$AS$6:$AS$55,SKOR!$AO$6:$AO$55,1)/C42)</f>
        <v>26.0625</v>
      </c>
      <c r="L42" s="34" t="n">
        <f aca="false">IF(K42="","",IFERROR((K42-MEAN_SKOR)/SD_SKOR*SQRT(E42/(1-E42)),""))</f>
        <v>0.3801717881226</v>
      </c>
      <c r="M42" s="34" t="n">
        <f aca="false">IF($B42="","",R_TABEL)</f>
        <v>0.355045889177768</v>
      </c>
      <c r="N42" s="16" t="str">
        <f aca="false">IF($B42="","",IF(L42="","Tidak valid",IF(L42&gt;M42,"Valid","Tidak valid")))</f>
        <v>Valid</v>
      </c>
      <c r="O42" s="34" t="n">
        <f aca="false">IF($B42="","",E42*(1-E42))</f>
        <v>0.249739854318418</v>
      </c>
      <c r="P42" s="16" t="n">
        <f aca="false">IF($B42="","",PENGECOH!T42)</f>
        <v>3</v>
      </c>
      <c r="Q42" s="16" t="str">
        <f aca="false">IF($B42="","",IF(AND(ISNUMBER(I42),I42&lt;0),"Diganti/Dibuang",IF((N42="Valid")+AND(ISNUMBER(I42),I42&gt;DP_B1)+(F42="Sedang")=3,"Diterima",IF((N42="Valid")+AND(ISNUMBER(I42),I42&gt;DP_B1)+(F42="Sedang")=2,"Direvisi","Diganti/Dibuang"))))</f>
        <v>Diterima</v>
      </c>
      <c r="R42" s="35" t="str">
        <f aca="false">IF($B42="","",IF(AND(Q42="Diterima",P42=3),"Soal baik; dapat disimpan di bank soal",TRIM(IF(F42="Sukar","Terlalu sukar. ",IF(F42="Mudah","Terlalu mudah. ",""))&amp;IF(N42&lt;&gt;"Valid","Validitas rendah. ","")&amp;IF(AND(ISNUMBER(I42),I42&lt;0),"Daya pembeda negatif (periksa kunci). ",IF(AND(ISNUMBER(I42),I42&gt;DP_B1),"","Daya pembeda rendah. "))&amp;IF(P42&lt;3,"Ada pengecoh tidak berfungsi.",""))))</f>
        <v>Soal baik; dapat disimpan di bank soal</v>
      </c>
      <c r="S42" s="35" t="str">
        <f aca="false">IF(KUNCI!C42="","",KUNCI!C42)</f>
        <v/>
      </c>
      <c r="T42" s="36" t="n">
        <f aca="false">IF($Q42="Diterima",$A42,"")</f>
        <v>37</v>
      </c>
      <c r="U42" s="36" t="str">
        <f aca="false">IF($Q42="Direvisi",$A42,"")</f>
        <v/>
      </c>
      <c r="V42" s="36" t="str">
        <f aca="false">IF($Q42="Diganti/Dibuang",$A42,"")</f>
        <v/>
      </c>
    </row>
    <row r="43" customFormat="false" ht="23.25" hidden="false" customHeight="true" outlineLevel="0" collapsed="false">
      <c r="A43" s="16" t="n">
        <v>38</v>
      </c>
      <c r="B43" s="16" t="str">
        <f aca="false">IF(KUNCI!B43="","",UPPER(KUNCI!B43))</f>
        <v>B</v>
      </c>
      <c r="C43" s="16" t="n">
        <f aca="false">IF($B43="","",SUM(SKOR!$AP$6:$AP$55))</f>
        <v>19</v>
      </c>
      <c r="D43" s="16" t="n">
        <f aca="false">IF($B43="","",N_SISWA-C43)</f>
        <v>12</v>
      </c>
      <c r="E43" s="31" t="n">
        <f aca="false">IF($B43="","",IFERROR(C43/N_SISWA,""))</f>
        <v>0.612903225806452</v>
      </c>
      <c r="F43" s="16" t="str">
        <f aca="false">IF(E43="","",IF(E43&lt;=BATAS_SUKAR,"Sukar",IF(E43&lt;=BATAS_MUDAH,"Sedang","Mudah")))</f>
        <v>Sedang</v>
      </c>
      <c r="G43" s="16" t="n">
        <f aca="false">IF($B43="","",SUMIFS(SKOR!$AP$6:$AP$55,SKOR!$AW$6:$AW$55,"&lt;="&amp;N_GRUP))</f>
        <v>6</v>
      </c>
      <c r="H43" s="16" t="n">
        <f aca="false">IF($B43="","",SUMIFS(SKOR!$AP$6:$AP$55,SKOR!$AW$6:$AW$55,"&gt;"&amp;(N_SISWA-N_GRUP)))</f>
        <v>3</v>
      </c>
      <c r="I43" s="31" t="n">
        <f aca="false">IF($B43="","",IFERROR((G43-H43)/N_GRUP,""))</f>
        <v>0.375</v>
      </c>
      <c r="J43" s="16" t="str">
        <f aca="false">IF(I43="","",IF(I43&lt;0,"Sangat jelek",IF(I43&lt;=DP_B1,"Jelek",IF(I43&lt;=DP_B2,"Cukup",IF(I43&lt;=DP_B3,"Baik","Baik sekali")))))</f>
        <v>Cukup</v>
      </c>
      <c r="K43" s="31" t="n">
        <f aca="false">IF(OR($B43="",C43=0),"",SUMIFS(SKOR!$AS$6:$AS$55,SKOR!$AP$6:$AP$55,1)/C43)</f>
        <v>25.2631578947368</v>
      </c>
      <c r="L43" s="34" t="n">
        <f aca="false">IF(K43="","",IFERROR((K43-MEAN_SKOR)/SD_SKOR*SQRT(E43/(1-E43)),""))</f>
        <v>0.291716589892177</v>
      </c>
      <c r="M43" s="34" t="n">
        <f aca="false">IF($B43="","",R_TABEL)</f>
        <v>0.355045889177768</v>
      </c>
      <c r="N43" s="16" t="str">
        <f aca="false">IF($B43="","",IF(L43="","Tidak valid",IF(L43&gt;M43,"Valid","Tidak valid")))</f>
        <v>Tidak valid</v>
      </c>
      <c r="O43" s="34" t="n">
        <f aca="false">IF($B43="","",E43*(1-E43))</f>
        <v>0.237252861602497</v>
      </c>
      <c r="P43" s="16" t="n">
        <f aca="false">IF($B43="","",PENGECOH!T43)</f>
        <v>3</v>
      </c>
      <c r="Q43" s="16" t="str">
        <f aca="false">IF($B43="","",IF(AND(ISNUMBER(I43),I43&lt;0),"Diganti/Dibuang",IF((N43="Valid")+AND(ISNUMBER(I43),I43&gt;DP_B1)+(F43="Sedang")=3,"Diterima",IF((N43="Valid")+AND(ISNUMBER(I43),I43&gt;DP_B1)+(F43="Sedang")=2,"Direvisi","Diganti/Dibuang"))))</f>
        <v>Direvisi</v>
      </c>
      <c r="R43" s="35" t="str">
        <f aca="false">IF($B43="","",IF(AND(Q43="Diterima",P43=3),"Soal baik; dapat disimpan di bank soal",TRIM(IF(F43="Sukar","Terlalu sukar. ",IF(F43="Mudah","Terlalu mudah. ",""))&amp;IF(N43&lt;&gt;"Valid","Validitas rendah. ","")&amp;IF(AND(ISNUMBER(I43),I43&lt;0),"Daya pembeda negatif (periksa kunci). ",IF(AND(ISNUMBER(I43),I43&gt;DP_B1),"","Daya pembeda rendah. "))&amp;IF(P43&lt;3,"Ada pengecoh tidak berfungsi.",""))))</f>
        <v>Validitas rendah.</v>
      </c>
      <c r="S43" s="35" t="str">
        <f aca="false">IF(KUNCI!C43="","",KUNCI!C43)</f>
        <v/>
      </c>
      <c r="T43" s="36" t="str">
        <f aca="false">IF($Q43="Diterima",$A43,"")</f>
        <v/>
      </c>
      <c r="U43" s="36" t="n">
        <f aca="false">IF($Q43="Direvisi",$A43,"")</f>
        <v>38</v>
      </c>
      <c r="V43" s="36" t="str">
        <f aca="false">IF($Q43="Diganti/Dibuang",$A43,"")</f>
        <v/>
      </c>
    </row>
    <row r="44" customFormat="false" ht="15" hidden="false" customHeight="true" outlineLevel="0" collapsed="false">
      <c r="A44" s="16" t="n">
        <v>39</v>
      </c>
      <c r="B44" s="16" t="str">
        <f aca="false">IF(KUNCI!B44="","",UPPER(KUNCI!B44))</f>
        <v>D</v>
      </c>
      <c r="C44" s="16" t="n">
        <f aca="false">IF($B44="","",SUM(SKOR!$AQ$6:$AQ$55))</f>
        <v>17</v>
      </c>
      <c r="D44" s="16" t="n">
        <f aca="false">IF($B44="","",N_SISWA-C44)</f>
        <v>14</v>
      </c>
      <c r="E44" s="31" t="n">
        <f aca="false">IF($B44="","",IFERROR(C44/N_SISWA,""))</f>
        <v>0.548387096774194</v>
      </c>
      <c r="F44" s="16" t="str">
        <f aca="false">IF(E44="","",IF(E44&lt;=BATAS_SUKAR,"Sukar",IF(E44&lt;=BATAS_MUDAH,"Sedang","Mudah")))</f>
        <v>Sedang</v>
      </c>
      <c r="G44" s="16" t="n">
        <f aca="false">IF($B44="","",SUMIFS(SKOR!$AQ$6:$AQ$55,SKOR!$AW$6:$AW$55,"&lt;="&amp;N_GRUP))</f>
        <v>5</v>
      </c>
      <c r="H44" s="16" t="n">
        <f aca="false">IF($B44="","",SUMIFS(SKOR!$AQ$6:$AQ$55,SKOR!$AW$6:$AW$55,"&gt;"&amp;(N_SISWA-N_GRUP)))</f>
        <v>5</v>
      </c>
      <c r="I44" s="31" t="n">
        <f aca="false">IF($B44="","",IFERROR((G44-H44)/N_GRUP,""))</f>
        <v>0</v>
      </c>
      <c r="J44" s="16" t="str">
        <f aca="false">IF(I44="","",IF(I44&lt;0,"Sangat jelek",IF(I44&lt;=DP_B1,"Jelek",IF(I44&lt;=DP_B2,"Cukup",IF(I44&lt;=DP_B3,"Baik","Baik sekali")))))</f>
        <v>Jelek</v>
      </c>
      <c r="K44" s="31" t="n">
        <f aca="false">IF(OR($B44="",C44=0),"",SUMIFS(SKOR!$AS$6:$AS$55,SKOR!$AQ$6:$AQ$55,1)/C44)</f>
        <v>23.4117647058824</v>
      </c>
      <c r="L44" s="34" t="n">
        <f aca="false">IF(K44="","",IFERROR((K44-MEAN_SKOR)/SD_SKOR*SQRT(E44/(1-E44)),""))</f>
        <v>-0.0923224500114246</v>
      </c>
      <c r="M44" s="34" t="n">
        <f aca="false">IF($B44="","",R_TABEL)</f>
        <v>0.355045889177768</v>
      </c>
      <c r="N44" s="16" t="str">
        <f aca="false">IF($B44="","",IF(L44="","Tidak valid",IF(L44&gt;M44,"Valid","Tidak valid")))</f>
        <v>Tidak valid</v>
      </c>
      <c r="O44" s="34" t="n">
        <f aca="false">IF($B44="","",E44*(1-E44))</f>
        <v>0.247658688865765</v>
      </c>
      <c r="P44" s="16" t="n">
        <f aca="false">IF($B44="","",PENGECOH!T44)</f>
        <v>3</v>
      </c>
      <c r="Q44" s="16" t="str">
        <f aca="false">IF($B44="","",IF(AND(ISNUMBER(I44),I44&lt;0),"Diganti/Dibuang",IF((N44="Valid")+AND(ISNUMBER(I44),I44&gt;DP_B1)+(F44="Sedang")=3,"Diterima",IF((N44="Valid")+AND(ISNUMBER(I44),I44&gt;DP_B1)+(F44="Sedang")=2,"Direvisi","Diganti/Dibuang"))))</f>
        <v>Diganti/Dibuang</v>
      </c>
      <c r="R44" s="35" t="str">
        <f aca="false">IF($B44="","",IF(AND(Q44="Diterima",P44=3),"Soal baik; dapat disimpan di bank soal",TRIM(IF(F44="Sukar","Terlalu sukar. ",IF(F44="Mudah","Terlalu mudah. ",""))&amp;IF(N44&lt;&gt;"Valid","Validitas rendah. ","")&amp;IF(AND(ISNUMBER(I44),I44&lt;0),"Daya pembeda negatif (periksa kunci). ",IF(AND(ISNUMBER(I44),I44&gt;DP_B1),"","Daya pembeda rendah. "))&amp;IF(P44&lt;3,"Ada pengecoh tidak berfungsi.",""))))</f>
        <v>Validitas rendah. Daya pembeda rendah.</v>
      </c>
      <c r="S44" s="35" t="str">
        <f aca="false">IF(KUNCI!C44="","",KUNCI!C44)</f>
        <v/>
      </c>
      <c r="T44" s="36" t="str">
        <f aca="false">IF($Q44="Diterima",$A44,"")</f>
        <v/>
      </c>
      <c r="U44" s="36" t="str">
        <f aca="false">IF($Q44="Direvisi",$A44,"")</f>
        <v/>
      </c>
      <c r="V44" s="36" t="n">
        <f aca="false">IF($Q44="Diganti/Dibuang",$A44,"")</f>
        <v>39</v>
      </c>
    </row>
    <row r="45" customFormat="false" ht="15" hidden="false" customHeight="true" outlineLevel="0" collapsed="false">
      <c r="A45" s="16" t="n">
        <v>40</v>
      </c>
      <c r="B45" s="16" t="str">
        <f aca="false">IF(KUNCI!B45="","",UPPER(KUNCI!B45))</f>
        <v>C</v>
      </c>
      <c r="C45" s="16" t="n">
        <f aca="false">IF($B45="","",SUM(SKOR!$AR$6:$AR$55))</f>
        <v>22</v>
      </c>
      <c r="D45" s="16" t="n">
        <f aca="false">IF($B45="","",N_SISWA-C45)</f>
        <v>9</v>
      </c>
      <c r="E45" s="31" t="n">
        <f aca="false">IF($B45="","",IFERROR(C45/N_SISWA,""))</f>
        <v>0.709677419354839</v>
      </c>
      <c r="F45" s="16" t="str">
        <f aca="false">IF(E45="","",IF(E45&lt;=BATAS_SUKAR,"Sukar",IF(E45&lt;=BATAS_MUDAH,"Sedang","Mudah")))</f>
        <v>Mudah</v>
      </c>
      <c r="G45" s="16" t="n">
        <f aca="false">IF($B45="","",SUMIFS(SKOR!$AR$6:$AR$55,SKOR!$AW$6:$AW$55,"&lt;="&amp;N_GRUP))</f>
        <v>7</v>
      </c>
      <c r="H45" s="16" t="n">
        <f aca="false">IF($B45="","",SUMIFS(SKOR!$AR$6:$AR$55,SKOR!$AW$6:$AW$55,"&gt;"&amp;(N_SISWA-N_GRUP)))</f>
        <v>3</v>
      </c>
      <c r="I45" s="31" t="n">
        <f aca="false">IF($B45="","",IFERROR((G45-H45)/N_GRUP,""))</f>
        <v>0.5</v>
      </c>
      <c r="J45" s="16" t="str">
        <f aca="false">IF(I45="","",IF(I45&lt;0,"Sangat jelek",IF(I45&lt;=DP_B1,"Jelek",IF(I45&lt;=DP_B2,"Cukup",IF(I45&lt;=DP_B3,"Baik","Baik sekali")))))</f>
        <v>Baik</v>
      </c>
      <c r="K45" s="31" t="n">
        <f aca="false">IF(OR($B45="",C45=0),"",SUMIFS(SKOR!$AS$6:$AS$55,SKOR!$AR$6:$AR$55,1)/C45)</f>
        <v>25.1818181818182</v>
      </c>
      <c r="L45" s="34" t="n">
        <f aca="false">IF(K45="","",IFERROR((K45-MEAN_SKOR)/SD_SKOR*SQRT(E45/(1-E45)),""))</f>
        <v>0.340784572129558</v>
      </c>
      <c r="M45" s="34" t="n">
        <f aca="false">IF($B45="","",R_TABEL)</f>
        <v>0.355045889177768</v>
      </c>
      <c r="N45" s="16" t="str">
        <f aca="false">IF($B45="","",IF(L45="","Tidak valid",IF(L45&gt;M45,"Valid","Tidak valid")))</f>
        <v>Tidak valid</v>
      </c>
      <c r="O45" s="34" t="n">
        <f aca="false">IF($B45="","",E45*(1-E45))</f>
        <v>0.206035379812695</v>
      </c>
      <c r="P45" s="16" t="n">
        <f aca="false">IF($B45="","",PENGECOH!T45)</f>
        <v>2</v>
      </c>
      <c r="Q45" s="16" t="str">
        <f aca="false">IF($B45="","",IF(AND(ISNUMBER(I45),I45&lt;0),"Diganti/Dibuang",IF((N45="Valid")+AND(ISNUMBER(I45),I45&gt;DP_B1)+(F45="Sedang")=3,"Diterima",IF((N45="Valid")+AND(ISNUMBER(I45),I45&gt;DP_B1)+(F45="Sedang")=2,"Direvisi","Diganti/Dibuang"))))</f>
        <v>Diganti/Dibuang</v>
      </c>
      <c r="R45" s="35" t="str">
        <f aca="false">IF($B45="","",IF(AND(Q45="Diterima",P45=3),"Soal baik; dapat disimpan di bank soal",TRIM(IF(F45="Sukar","Terlalu sukar. ",IF(F45="Mudah","Terlalu mudah. ",""))&amp;IF(N45&lt;&gt;"Valid","Validitas rendah. ","")&amp;IF(AND(ISNUMBER(I45),I45&lt;0),"Daya pembeda negatif (periksa kunci). ",IF(AND(ISNUMBER(I45),I45&gt;DP_B1),"","Daya pembeda rendah. "))&amp;IF(P45&lt;3,"Ada pengecoh tidak berfungsi.",""))))</f>
        <v>Terlalu mudah. Validitas rendah. Ada pengecoh tidak berfungsi.</v>
      </c>
      <c r="S45" s="35" t="str">
        <f aca="false">IF(KUNCI!C45="","",KUNCI!C45)</f>
        <v/>
      </c>
      <c r="T45" s="36" t="str">
        <f aca="false">IF($Q45="Diterima",$A45,"")</f>
        <v/>
      </c>
      <c r="U45" s="36" t="str">
        <f aca="false">IF($Q45="Direvisi",$A45,"")</f>
        <v/>
      </c>
      <c r="V45" s="36" t="n">
        <f aca="false">IF($Q45="Diganti/Dibuang",$A45,"")</f>
        <v>40</v>
      </c>
    </row>
    <row r="46" customFormat="false" ht="15" hidden="false" customHeight="true" outlineLevel="0" collapsed="false">
      <c r="A46" s="3" t="s">
        <v>205</v>
      </c>
      <c r="B46" s="3"/>
      <c r="C46" s="3"/>
      <c r="D46" s="3"/>
      <c r="E46" s="37" t="n">
        <f aca="false">IFERROR(AVERAGE(E6:E45),"")</f>
        <v>0.59758064516129</v>
      </c>
      <c r="F46" s="3"/>
      <c r="G46" s="3"/>
      <c r="H46" s="3"/>
      <c r="I46" s="37" t="n">
        <f aca="false">IFERROR(AVERAGE(I6:I45),"")</f>
        <v>0.36875</v>
      </c>
      <c r="J46" s="3"/>
      <c r="K46" s="3"/>
      <c r="L46" s="38" t="n">
        <f aca="false">IFERROR(AVERAGE(L6:L45),"")</f>
        <v>0.303705028862502</v>
      </c>
      <c r="M46" s="3"/>
      <c r="N46" s="3"/>
      <c r="O46" s="3"/>
      <c r="P46" s="3"/>
      <c r="Q46" s="3"/>
    </row>
  </sheetData>
  <conditionalFormatting sqref="F6:F45">
    <cfRule type="cellIs" priority="2" operator="equal" aboveAverage="0" equalAverage="0" bottom="0" percent="0" rank="0" text="" dxfId="1">
      <formula>"Sukar"</formula>
    </cfRule>
    <cfRule type="cellIs" priority="3" operator="equal" aboveAverage="0" equalAverage="0" bottom="0" percent="0" rank="0" text="" dxfId="0">
      <formula>"Sedang"</formula>
    </cfRule>
    <cfRule type="cellIs" priority="4" operator="equal" aboveAverage="0" equalAverage="0" bottom="0" percent="0" rank="0" text="" dxfId="2">
      <formula>"Mudah"</formula>
    </cfRule>
  </conditionalFormatting>
  <conditionalFormatting sqref="J6:J45">
    <cfRule type="cellIs" priority="5" operator="equal" aboveAverage="0" equalAverage="0" bottom="0" percent="0" rank="0" text="" dxfId="1">
      <formula>"Sangat jelek"</formula>
    </cfRule>
    <cfRule type="cellIs" priority="6" operator="equal" aboveAverage="0" equalAverage="0" bottom="0" percent="0" rank="0" text="" dxfId="1">
      <formula>"Jelek"</formula>
    </cfRule>
    <cfRule type="cellIs" priority="7" operator="equal" aboveAverage="0" equalAverage="0" bottom="0" percent="0" rank="0" text="" dxfId="2">
      <formula>"Cukup"</formula>
    </cfRule>
    <cfRule type="cellIs" priority="8" operator="equal" aboveAverage="0" equalAverage="0" bottom="0" percent="0" rank="0" text="" dxfId="0">
      <formula>"Baik"</formula>
    </cfRule>
    <cfRule type="cellIs" priority="9" operator="equal" aboveAverage="0" equalAverage="0" bottom="0" percent="0" rank="0" text="" dxfId="0">
      <formula>"Baik sekali"</formula>
    </cfRule>
  </conditionalFormatting>
  <conditionalFormatting sqref="N6:N45">
    <cfRule type="cellIs" priority="10" operator="equal" aboveAverage="0" equalAverage="0" bottom="0" percent="0" rank="0" text="" dxfId="0">
      <formula>"Valid"</formula>
    </cfRule>
    <cfRule type="cellIs" priority="11" operator="equal" aboveAverage="0" equalAverage="0" bottom="0" percent="0" rank="0" text="" dxfId="1">
      <formula>"Tidak valid"</formula>
    </cfRule>
  </conditionalFormatting>
  <conditionalFormatting sqref="Q6:Q45">
    <cfRule type="cellIs" priority="12" operator="equal" aboveAverage="0" equalAverage="0" bottom="0" percent="0" rank="0" text="" dxfId="0">
      <formula>"Diterima"</formula>
    </cfRule>
    <cfRule type="cellIs" priority="13" operator="equal" aboveAverage="0" equalAverage="0" bottom="0" percent="0" rank="0" text="" dxfId="2">
      <formula>"Direvisi"</formula>
    </cfRule>
    <cfRule type="cellIs" priority="14" operator="equal" aboveAverage="0" equalAverage="0" bottom="0" percent="0" rank="0" text="" dxfId="1">
      <formula>"Diganti/Dibuang"</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U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H7" activePane="bottomRight" state="frozen"/>
      <selection pane="topLeft" activeCell="A1" activeCellId="0" sqref="A1"/>
      <selection pane="topRight" activeCell="H1" activeCellId="0" sqref="H1"/>
      <selection pane="bottomLeft" activeCell="A7" activeCellId="0" sqref="A7"/>
      <selection pane="bottomRight" activeCell="A1" activeCellId="0" sqref="A1"/>
    </sheetView>
  </sheetViews>
  <sheetFormatPr defaultColWidth="8.6328125" defaultRowHeight="14.25" zeroHeight="false" outlineLevelRow="0" outlineLevelCol="0"/>
  <cols>
    <col collapsed="false" customWidth="true" hidden="false" outlineLevel="0" max="1" min="1" style="0" width="5"/>
    <col collapsed="false" customWidth="true" hidden="false" outlineLevel="0" max="2" min="2" style="0" width="7"/>
    <col collapsed="false" customWidth="true" hidden="false" outlineLevel="0" max="18" min="3" style="0" width="7.45"/>
    <col collapsed="false" customWidth="true" hidden="false" outlineLevel="0" max="19" min="19" style="0" width="11"/>
    <col collapsed="false" customWidth="true" hidden="false" outlineLevel="0" max="20" min="20" style="0" width="13"/>
    <col collapsed="false" customWidth="true" hidden="false" outlineLevel="0" max="21" min="21" style="0" width="14"/>
  </cols>
  <sheetData>
    <row r="1" customFormat="false" ht="17.25" hidden="false" customHeight="true" outlineLevel="0" collapsed="false">
      <c r="A1" s="12" t="s">
        <v>206</v>
      </c>
    </row>
    <row r="2" customFormat="false" ht="15" hidden="false" customHeight="true" outlineLevel="0" collapsed="false">
      <c r="A2" s="13" t="str">
        <f aca="false">UPPER(NAMA_MADRASAH)&amp;" | TAHUN PELAJARAN "&amp;TAHUN_AJAR</f>
        <v>MTSN 3 SUBANG | TAHUN PELAJARAN 2025-2026</v>
      </c>
    </row>
    <row r="3" customFormat="false" ht="15" hidden="false" customHeight="true" outlineLevel="0" collapsed="false">
      <c r="A3" s="14" t="str">
        <f aca="false">MAPEL&amp;" | Kelas "&amp;KELAS&amp;" | Semester "&amp;SEMESTER&amp;" | "&amp;JENIS_TES</f>
        <v>Bahasa Indonesia | Kelas IX G | Semester Ganjil | Penilaian Akhir Semester</v>
      </c>
    </row>
    <row r="4" customFormat="false" ht="15" hidden="false" customHeight="true" outlineLevel="0" collapsed="false">
      <c r="A4" s="21" t="s">
        <v>207</v>
      </c>
    </row>
    <row r="5" customFormat="false" ht="42" hidden="false" customHeight="true" outlineLevel="0" collapsed="false">
      <c r="A5" s="8" t="s">
        <v>47</v>
      </c>
      <c r="B5" s="8" t="s">
        <v>173</v>
      </c>
      <c r="C5" s="8" t="s">
        <v>208</v>
      </c>
      <c r="D5" s="8" t="s">
        <v>209</v>
      </c>
      <c r="E5" s="8" t="s">
        <v>210</v>
      </c>
      <c r="F5" s="8" t="s">
        <v>211</v>
      </c>
      <c r="G5" s="8" t="s">
        <v>212</v>
      </c>
      <c r="H5" s="8" t="s">
        <v>213</v>
      </c>
      <c r="I5" s="8" t="s">
        <v>214</v>
      </c>
      <c r="J5" s="8" t="s">
        <v>215</v>
      </c>
      <c r="K5" s="8" t="s">
        <v>216</v>
      </c>
      <c r="L5" s="8" t="s">
        <v>217</v>
      </c>
      <c r="M5" s="8" t="s">
        <v>218</v>
      </c>
      <c r="N5" s="8" t="s">
        <v>219</v>
      </c>
      <c r="O5" s="8" t="s">
        <v>220</v>
      </c>
      <c r="P5" s="8" t="s">
        <v>221</v>
      </c>
      <c r="Q5" s="8" t="s">
        <v>222</v>
      </c>
      <c r="R5" s="8" t="s">
        <v>223</v>
      </c>
      <c r="S5" s="8" t="s">
        <v>224</v>
      </c>
      <c r="T5" s="8" t="s">
        <v>199</v>
      </c>
      <c r="U5" s="8" t="s">
        <v>225</v>
      </c>
    </row>
    <row r="6" customFormat="false" ht="15" hidden="false" customHeight="true" outlineLevel="0" collapsed="false">
      <c r="A6" s="16" t="n">
        <v>1</v>
      </c>
      <c r="B6" s="16" t="str">
        <f aca="false">ANALISIS!B6</f>
        <v>A</v>
      </c>
      <c r="C6" s="16" t="n">
        <f aca="false">IF($B6="","",COUNTIFS(JAWABAN!$E$6:$E$55,"A",SKOR!$AS$6:$AS$55,"&gt;=0"))</f>
        <v>17</v>
      </c>
      <c r="D6" s="39" t="n">
        <f aca="false">IF($B6="","",IFERROR(C6/N_SISWA,0))</f>
        <v>0.548387096774194</v>
      </c>
      <c r="E6" s="16" t="n">
        <f aca="false">IF($B6="","",COUNTIFS(JAWABAN!$E$6:$E$55,"A",SKOR!$AW$6:$AW$55,"&lt;="&amp;N_GRUP))</f>
        <v>4</v>
      </c>
      <c r="F6" s="16" t="n">
        <f aca="false">IF($B6="","",COUNTIFS(JAWABAN!$E$6:$E$55,"A",SKOR!$AW$6:$AW$55,"&gt;"&amp;(N_SISWA-N_GRUP)))</f>
        <v>4</v>
      </c>
      <c r="G6" s="16" t="n">
        <f aca="false">IF($B6="","",COUNTIFS(JAWABAN!$E$6:$E$55,"B",SKOR!$AS$6:$AS$55,"&gt;=0"))</f>
        <v>5</v>
      </c>
      <c r="H6" s="39" t="n">
        <f aca="false">IF($B6="","",IFERROR(G6/N_SISWA,0))</f>
        <v>0.161290322580645</v>
      </c>
      <c r="I6" s="16" t="n">
        <f aca="false">IF($B6="","",COUNTIFS(JAWABAN!$E$6:$E$55,"B",SKOR!$AW$6:$AW$55,"&lt;="&amp;N_GRUP))</f>
        <v>3</v>
      </c>
      <c r="J6" s="16" t="n">
        <f aca="false">IF($B6="","",COUNTIFS(JAWABAN!$E$6:$E$55,"B",SKOR!$AW$6:$AW$55,"&gt;"&amp;(N_SISWA-N_GRUP)))</f>
        <v>2</v>
      </c>
      <c r="K6" s="40" t="n">
        <f aca="false">IF($B6="","",COUNTIFS(JAWABAN!$E$6:$E$55,"C",SKOR!$AS$6:$AS$55,"&gt;=0"))</f>
        <v>4</v>
      </c>
      <c r="L6" s="39" t="n">
        <f aca="false">IF($B6="","",IFERROR(K6/N_SISWA,0))</f>
        <v>0.129032258064516</v>
      </c>
      <c r="M6" s="40" t="n">
        <f aca="false">IF($B6="","",COUNTIFS(JAWABAN!$E$6:$E$55,"C",SKOR!$AW$6:$AW$55,"&lt;="&amp;N_GRUP))</f>
        <v>1</v>
      </c>
      <c r="N6" s="40" t="n">
        <f aca="false">IF($B6="","",COUNTIFS(JAWABAN!$E$6:$E$55,"C",SKOR!$AW$6:$AW$55,"&gt;"&amp;(N_SISWA-N_GRUP)))</f>
        <v>1</v>
      </c>
      <c r="O6" s="40" t="n">
        <f aca="false">IF($B6="","",COUNTIFS(JAWABAN!$E$6:$E$55,"D",SKOR!$AS$6:$AS$55,"&gt;=0"))</f>
        <v>3</v>
      </c>
      <c r="P6" s="39" t="n">
        <f aca="false">IF($B6="","",IFERROR(O6/N_SISWA,0))</f>
        <v>0.0967741935483871</v>
      </c>
      <c r="Q6" s="40" t="n">
        <f aca="false">IF($B6="","",COUNTIFS(JAWABAN!$E$6:$E$55,"D",SKOR!$AW$6:$AW$55,"&lt;="&amp;N_GRUP))</f>
        <v>0</v>
      </c>
      <c r="R6" s="40" t="n">
        <f aca="false">IF($B6="","",COUNTIFS(JAWABAN!$E$6:$E$55,"D",SKOR!$AW$6:$AW$55,"&gt;"&amp;(N_SISWA-N_GRUP)))</f>
        <v>0</v>
      </c>
      <c r="S6" s="16" t="n">
        <f aca="false">IF($B6="","",N_SISWA-(C6+G6+K6+O6))</f>
        <v>2</v>
      </c>
      <c r="T6" s="16" t="n">
        <f aca="false">IF($B6="","",($B6&lt;&gt;"A")*(D6&gt;=PERSEN_PENGECOH)+($B6&lt;&gt;"B")*(H6&gt;=PERSEN_PENGECOH)+($B6&lt;&gt;"C")*(L6&gt;=PERSEN_PENGECOH)+($B6&lt;&gt;"D")*(P6&gt;=PERSEN_PENGECOH))</f>
        <v>3</v>
      </c>
      <c r="U6" s="16" t="str">
        <f aca="false">IF($B6="","",IF(T6=3,"-",TRIM(IF(AND($B6&lt;&gt;"A",D6&lt;PERSEN_PENGECOH),"A ","")&amp;IF(AND($B6&lt;&gt;"B",H6&lt;PERSEN_PENGECOH),"B ","")&amp;IF(AND($B6&lt;&gt;"C",L6&lt;PERSEN_PENGECOH),"C ","")&amp;IF(AND($B6&lt;&gt;"D",P6&lt;PERSEN_PENGECOH),"D ",""))))</f>
        <v>-</v>
      </c>
    </row>
    <row r="7" customFormat="false" ht="15" hidden="false" customHeight="true" outlineLevel="0" collapsed="false">
      <c r="A7" s="16" t="n">
        <v>2</v>
      </c>
      <c r="B7" s="16" t="str">
        <f aca="false">ANALISIS!B7</f>
        <v>D</v>
      </c>
      <c r="C7" s="16" t="n">
        <f aca="false">IF($B7="","",COUNTIFS(JAWABAN!$F$6:$F$55,"A",SKOR!$AS$6:$AS$55,"&gt;=0"))</f>
        <v>4</v>
      </c>
      <c r="D7" s="39" t="n">
        <f aca="false">IF($B7="","",IFERROR(C7/N_SISWA,0))</f>
        <v>0.129032258064516</v>
      </c>
      <c r="E7" s="16" t="n">
        <f aca="false">IF($B7="","",COUNTIFS(JAWABAN!$F$6:$F$55,"A",SKOR!$AW$6:$AW$55,"&lt;="&amp;N_GRUP))</f>
        <v>0</v>
      </c>
      <c r="F7" s="16" t="n">
        <f aca="false">IF($B7="","",COUNTIFS(JAWABAN!$F$6:$F$55,"A",SKOR!$AW$6:$AW$55,"&gt;"&amp;(N_SISWA-N_GRUP)))</f>
        <v>0</v>
      </c>
      <c r="G7" s="16" t="n">
        <f aca="false">IF($B7="","",COUNTIFS(JAWABAN!$F$6:$F$55,"B",SKOR!$AS$6:$AS$55,"&gt;=0"))</f>
        <v>2</v>
      </c>
      <c r="H7" s="39" t="n">
        <f aca="false">IF($B7="","",IFERROR(G7/N_SISWA,0))</f>
        <v>0.0645161290322581</v>
      </c>
      <c r="I7" s="16" t="n">
        <f aca="false">IF($B7="","",COUNTIFS(JAWABAN!$F$6:$F$55,"B",SKOR!$AW$6:$AW$55,"&lt;="&amp;N_GRUP))</f>
        <v>0</v>
      </c>
      <c r="J7" s="16" t="n">
        <f aca="false">IF($B7="","",COUNTIFS(JAWABAN!$F$6:$F$55,"B",SKOR!$AW$6:$AW$55,"&gt;"&amp;(N_SISWA-N_GRUP)))</f>
        <v>2</v>
      </c>
      <c r="K7" s="40" t="n">
        <f aca="false">IF($B7="","",COUNTIFS(JAWABAN!$F$6:$F$55,"C",SKOR!$AS$6:$AS$55,"&gt;=0"))</f>
        <v>4</v>
      </c>
      <c r="L7" s="39" t="n">
        <f aca="false">IF($B7="","",IFERROR(K7/N_SISWA,0))</f>
        <v>0.129032258064516</v>
      </c>
      <c r="M7" s="40" t="n">
        <f aca="false">IF($B7="","",COUNTIFS(JAWABAN!$F$6:$F$55,"C",SKOR!$AW$6:$AW$55,"&lt;="&amp;N_GRUP))</f>
        <v>1</v>
      </c>
      <c r="N7" s="40" t="n">
        <f aca="false">IF($B7="","",COUNTIFS(JAWABAN!$F$6:$F$55,"C",SKOR!$AW$6:$AW$55,"&gt;"&amp;(N_SISWA-N_GRUP)))</f>
        <v>2</v>
      </c>
      <c r="O7" s="40" t="n">
        <f aca="false">IF($B7="","",COUNTIFS(JAWABAN!$F$6:$F$55,"D",SKOR!$AS$6:$AS$55,"&gt;=0"))</f>
        <v>21</v>
      </c>
      <c r="P7" s="39" t="n">
        <f aca="false">IF($B7="","",IFERROR(O7/N_SISWA,0))</f>
        <v>0.67741935483871</v>
      </c>
      <c r="Q7" s="40" t="n">
        <f aca="false">IF($B7="","",COUNTIFS(JAWABAN!$F$6:$F$55,"D",SKOR!$AW$6:$AW$55,"&lt;="&amp;N_GRUP))</f>
        <v>7</v>
      </c>
      <c r="R7" s="40" t="n">
        <f aca="false">IF($B7="","",COUNTIFS(JAWABAN!$F$6:$F$55,"D",SKOR!$AW$6:$AW$55,"&gt;"&amp;(N_SISWA-N_GRUP)))</f>
        <v>4</v>
      </c>
      <c r="S7" s="16" t="n">
        <f aca="false">IF($B7="","",N_SISWA-(C7+G7+K7+O7))</f>
        <v>0</v>
      </c>
      <c r="T7" s="16" t="n">
        <f aca="false">IF($B7="","",($B7&lt;&gt;"A")*(D7&gt;=PERSEN_PENGECOH)+($B7&lt;&gt;"B")*(H7&gt;=PERSEN_PENGECOH)+($B7&lt;&gt;"C")*(L7&gt;=PERSEN_PENGECOH)+($B7&lt;&gt;"D")*(P7&gt;=PERSEN_PENGECOH))</f>
        <v>3</v>
      </c>
      <c r="U7" s="16" t="str">
        <f aca="false">IF($B7="","",IF(T7=3,"-",TRIM(IF(AND($B7&lt;&gt;"A",D7&lt;PERSEN_PENGECOH),"A ","")&amp;IF(AND($B7&lt;&gt;"B",H7&lt;PERSEN_PENGECOH),"B ","")&amp;IF(AND($B7&lt;&gt;"C",L7&lt;PERSEN_PENGECOH),"C ","")&amp;IF(AND($B7&lt;&gt;"D",P7&lt;PERSEN_PENGECOH),"D ",""))))</f>
        <v>-</v>
      </c>
    </row>
    <row r="8" customFormat="false" ht="15" hidden="false" customHeight="true" outlineLevel="0" collapsed="false">
      <c r="A8" s="16" t="n">
        <v>3</v>
      </c>
      <c r="B8" s="16" t="str">
        <f aca="false">ANALISIS!B8</f>
        <v>B</v>
      </c>
      <c r="C8" s="16" t="n">
        <f aca="false">IF($B8="","",COUNTIFS(JAWABAN!$G$6:$G$55,"A",SKOR!$AS$6:$AS$55,"&gt;=0"))</f>
        <v>3</v>
      </c>
      <c r="D8" s="39" t="n">
        <f aca="false">IF($B8="","",IFERROR(C8/N_SISWA,0))</f>
        <v>0.0967741935483871</v>
      </c>
      <c r="E8" s="16" t="n">
        <f aca="false">IF($B8="","",COUNTIFS(JAWABAN!$G$6:$G$55,"A",SKOR!$AW$6:$AW$55,"&lt;="&amp;N_GRUP))</f>
        <v>0</v>
      </c>
      <c r="F8" s="16" t="n">
        <f aca="false">IF($B8="","",COUNTIFS(JAWABAN!$G$6:$G$55,"A",SKOR!$AW$6:$AW$55,"&gt;"&amp;(N_SISWA-N_GRUP)))</f>
        <v>1</v>
      </c>
      <c r="G8" s="16" t="n">
        <f aca="false">IF($B8="","",COUNTIFS(JAWABAN!$G$6:$G$55,"B",SKOR!$AS$6:$AS$55,"&gt;=0"))</f>
        <v>18</v>
      </c>
      <c r="H8" s="39" t="n">
        <f aca="false">IF($B8="","",IFERROR(G8/N_SISWA,0))</f>
        <v>0.580645161290323</v>
      </c>
      <c r="I8" s="16" t="n">
        <f aca="false">IF($B8="","",COUNTIFS(JAWABAN!$G$6:$G$55,"B",SKOR!$AW$6:$AW$55,"&lt;="&amp;N_GRUP))</f>
        <v>4</v>
      </c>
      <c r="J8" s="16" t="n">
        <f aca="false">IF($B8="","",COUNTIFS(JAWABAN!$G$6:$G$55,"B",SKOR!$AW$6:$AW$55,"&gt;"&amp;(N_SISWA-N_GRUP)))</f>
        <v>4</v>
      </c>
      <c r="K8" s="40" t="n">
        <f aca="false">IF($B8="","",COUNTIFS(JAWABAN!$G$6:$G$55,"C",SKOR!$AS$6:$AS$55,"&gt;=0"))</f>
        <v>4</v>
      </c>
      <c r="L8" s="39" t="n">
        <f aca="false">IF($B8="","",IFERROR(K8/N_SISWA,0))</f>
        <v>0.129032258064516</v>
      </c>
      <c r="M8" s="40" t="n">
        <f aca="false">IF($B8="","",COUNTIFS(JAWABAN!$G$6:$G$55,"C",SKOR!$AW$6:$AW$55,"&lt;="&amp;N_GRUP))</f>
        <v>1</v>
      </c>
      <c r="N8" s="40" t="n">
        <f aca="false">IF($B8="","",COUNTIFS(JAWABAN!$G$6:$G$55,"C",SKOR!$AW$6:$AW$55,"&gt;"&amp;(N_SISWA-N_GRUP)))</f>
        <v>2</v>
      </c>
      <c r="O8" s="40" t="n">
        <f aca="false">IF($B8="","",COUNTIFS(JAWABAN!$G$6:$G$55,"D",SKOR!$AS$6:$AS$55,"&gt;=0"))</f>
        <v>4</v>
      </c>
      <c r="P8" s="39" t="n">
        <f aca="false">IF($B8="","",IFERROR(O8/N_SISWA,0))</f>
        <v>0.129032258064516</v>
      </c>
      <c r="Q8" s="40" t="n">
        <f aca="false">IF($B8="","",COUNTIFS(JAWABAN!$G$6:$G$55,"D",SKOR!$AW$6:$AW$55,"&lt;="&amp;N_GRUP))</f>
        <v>3</v>
      </c>
      <c r="R8" s="40" t="n">
        <f aca="false">IF($B8="","",COUNTIFS(JAWABAN!$G$6:$G$55,"D",SKOR!$AW$6:$AW$55,"&gt;"&amp;(N_SISWA-N_GRUP)))</f>
        <v>0</v>
      </c>
      <c r="S8" s="16" t="n">
        <f aca="false">IF($B8="","",N_SISWA-(C8+G8+K8+O8))</f>
        <v>2</v>
      </c>
      <c r="T8" s="16" t="n">
        <f aca="false">IF($B8="","",($B8&lt;&gt;"A")*(D8&gt;=PERSEN_PENGECOH)+($B8&lt;&gt;"B")*(H8&gt;=PERSEN_PENGECOH)+($B8&lt;&gt;"C")*(L8&gt;=PERSEN_PENGECOH)+($B8&lt;&gt;"D")*(P8&gt;=PERSEN_PENGECOH))</f>
        <v>3</v>
      </c>
      <c r="U8" s="16" t="str">
        <f aca="false">IF($B8="","",IF(T8=3,"-",TRIM(IF(AND($B8&lt;&gt;"A",D8&lt;PERSEN_PENGECOH),"A ","")&amp;IF(AND($B8&lt;&gt;"B",H8&lt;PERSEN_PENGECOH),"B ","")&amp;IF(AND($B8&lt;&gt;"C",L8&lt;PERSEN_PENGECOH),"C ","")&amp;IF(AND($B8&lt;&gt;"D",P8&lt;PERSEN_PENGECOH),"D ",""))))</f>
        <v>-</v>
      </c>
    </row>
    <row r="9" customFormat="false" ht="15" hidden="false" customHeight="true" outlineLevel="0" collapsed="false">
      <c r="A9" s="16" t="n">
        <v>4</v>
      </c>
      <c r="B9" s="16" t="str">
        <f aca="false">ANALISIS!B9</f>
        <v>A</v>
      </c>
      <c r="C9" s="16" t="n">
        <f aca="false">IF($B9="","",COUNTIFS(JAWABAN!$H$6:$H$55,"A",SKOR!$AS$6:$AS$55,"&gt;=0"))</f>
        <v>22</v>
      </c>
      <c r="D9" s="39" t="n">
        <f aca="false">IF($B9="","",IFERROR(C9/N_SISWA,0))</f>
        <v>0.709677419354839</v>
      </c>
      <c r="E9" s="16" t="n">
        <f aca="false">IF($B9="","",COUNTIFS(JAWABAN!$H$6:$H$55,"A",SKOR!$AW$6:$AW$55,"&lt;="&amp;N_GRUP))</f>
        <v>7</v>
      </c>
      <c r="F9" s="16" t="n">
        <f aca="false">IF($B9="","",COUNTIFS(JAWABAN!$H$6:$H$55,"A",SKOR!$AW$6:$AW$55,"&gt;"&amp;(N_SISWA-N_GRUP)))</f>
        <v>3</v>
      </c>
      <c r="G9" s="16" t="n">
        <f aca="false">IF($B9="","",COUNTIFS(JAWABAN!$H$6:$H$55,"B",SKOR!$AS$6:$AS$55,"&gt;=0"))</f>
        <v>2</v>
      </c>
      <c r="H9" s="39" t="n">
        <f aca="false">IF($B9="","",IFERROR(G9/N_SISWA,0))</f>
        <v>0.0645161290322581</v>
      </c>
      <c r="I9" s="16" t="n">
        <f aca="false">IF($B9="","",COUNTIFS(JAWABAN!$H$6:$H$55,"B",SKOR!$AW$6:$AW$55,"&lt;="&amp;N_GRUP))</f>
        <v>0</v>
      </c>
      <c r="J9" s="16" t="n">
        <f aca="false">IF($B9="","",COUNTIFS(JAWABAN!$H$6:$H$55,"B",SKOR!$AW$6:$AW$55,"&gt;"&amp;(N_SISWA-N_GRUP)))</f>
        <v>1</v>
      </c>
      <c r="K9" s="40" t="n">
        <f aca="false">IF($B9="","",COUNTIFS(JAWABAN!$H$6:$H$55,"C",SKOR!$AS$6:$AS$55,"&gt;=0"))</f>
        <v>3</v>
      </c>
      <c r="L9" s="39" t="n">
        <f aca="false">IF($B9="","",IFERROR(K9/N_SISWA,0))</f>
        <v>0.0967741935483871</v>
      </c>
      <c r="M9" s="40" t="n">
        <f aca="false">IF($B9="","",COUNTIFS(JAWABAN!$H$6:$H$55,"C",SKOR!$AW$6:$AW$55,"&lt;="&amp;N_GRUP))</f>
        <v>0</v>
      </c>
      <c r="N9" s="40" t="n">
        <f aca="false">IF($B9="","",COUNTIFS(JAWABAN!$H$6:$H$55,"C",SKOR!$AW$6:$AW$55,"&gt;"&amp;(N_SISWA-N_GRUP)))</f>
        <v>3</v>
      </c>
      <c r="O9" s="40" t="n">
        <f aca="false">IF($B9="","",COUNTIFS(JAWABAN!$H$6:$H$55,"D",SKOR!$AS$6:$AS$55,"&gt;=0"))</f>
        <v>2</v>
      </c>
      <c r="P9" s="39" t="n">
        <f aca="false">IF($B9="","",IFERROR(O9/N_SISWA,0))</f>
        <v>0.0645161290322581</v>
      </c>
      <c r="Q9" s="40" t="n">
        <f aca="false">IF($B9="","",COUNTIFS(JAWABAN!$H$6:$H$55,"D",SKOR!$AW$6:$AW$55,"&lt;="&amp;N_GRUP))</f>
        <v>0</v>
      </c>
      <c r="R9" s="40" t="n">
        <f aca="false">IF($B9="","",COUNTIFS(JAWABAN!$H$6:$H$55,"D",SKOR!$AW$6:$AW$55,"&gt;"&amp;(N_SISWA-N_GRUP)))</f>
        <v>1</v>
      </c>
      <c r="S9" s="16" t="n">
        <f aca="false">IF($B9="","",N_SISWA-(C9+G9+K9+O9))</f>
        <v>2</v>
      </c>
      <c r="T9" s="16" t="n">
        <f aca="false">IF($B9="","",($B9&lt;&gt;"A")*(D9&gt;=PERSEN_PENGECOH)+($B9&lt;&gt;"B")*(H9&gt;=PERSEN_PENGECOH)+($B9&lt;&gt;"C")*(L9&gt;=PERSEN_PENGECOH)+($B9&lt;&gt;"D")*(P9&gt;=PERSEN_PENGECOH))</f>
        <v>3</v>
      </c>
      <c r="U9" s="16" t="str">
        <f aca="false">IF($B9="","",IF(T9=3,"-",TRIM(IF(AND($B9&lt;&gt;"A",D9&lt;PERSEN_PENGECOH),"A ","")&amp;IF(AND($B9&lt;&gt;"B",H9&lt;PERSEN_PENGECOH),"B ","")&amp;IF(AND($B9&lt;&gt;"C",L9&lt;PERSEN_PENGECOH),"C ","")&amp;IF(AND($B9&lt;&gt;"D",P9&lt;PERSEN_PENGECOH),"D ",""))))</f>
        <v>-</v>
      </c>
    </row>
    <row r="10" customFormat="false" ht="15" hidden="false" customHeight="true" outlineLevel="0" collapsed="false">
      <c r="A10" s="16" t="n">
        <v>5</v>
      </c>
      <c r="B10" s="16" t="str">
        <f aca="false">ANALISIS!B10</f>
        <v>C</v>
      </c>
      <c r="C10" s="16" t="n">
        <f aca="false">IF($B10="","",COUNTIFS(JAWABAN!$I$6:$I$55,"A",SKOR!$AS$6:$AS$55,"&gt;=0"))</f>
        <v>5</v>
      </c>
      <c r="D10" s="39" t="n">
        <f aca="false">IF($B10="","",IFERROR(C10/N_SISWA,0))</f>
        <v>0.161290322580645</v>
      </c>
      <c r="E10" s="16" t="n">
        <f aca="false">IF($B10="","",COUNTIFS(JAWABAN!$I$6:$I$55,"A",SKOR!$AW$6:$AW$55,"&lt;="&amp;N_GRUP))</f>
        <v>1</v>
      </c>
      <c r="F10" s="16" t="n">
        <f aca="false">IF($B10="","",COUNTIFS(JAWABAN!$I$6:$I$55,"A",SKOR!$AW$6:$AW$55,"&gt;"&amp;(N_SISWA-N_GRUP)))</f>
        <v>1</v>
      </c>
      <c r="G10" s="16" t="n">
        <f aca="false">IF($B10="","",COUNTIFS(JAWABAN!$I$6:$I$55,"B",SKOR!$AS$6:$AS$55,"&gt;=0"))</f>
        <v>3</v>
      </c>
      <c r="H10" s="39" t="n">
        <f aca="false">IF($B10="","",IFERROR(G10/N_SISWA,0))</f>
        <v>0.0967741935483871</v>
      </c>
      <c r="I10" s="16" t="n">
        <f aca="false">IF($B10="","",COUNTIFS(JAWABAN!$I$6:$I$55,"B",SKOR!$AW$6:$AW$55,"&lt;="&amp;N_GRUP))</f>
        <v>0</v>
      </c>
      <c r="J10" s="16" t="n">
        <f aca="false">IF($B10="","",COUNTIFS(JAWABAN!$I$6:$I$55,"B",SKOR!$AW$6:$AW$55,"&gt;"&amp;(N_SISWA-N_GRUP)))</f>
        <v>2</v>
      </c>
      <c r="K10" s="40" t="n">
        <f aca="false">IF($B10="","",COUNTIFS(JAWABAN!$I$6:$I$55,"C",SKOR!$AS$6:$AS$55,"&gt;=0"))</f>
        <v>17</v>
      </c>
      <c r="L10" s="39" t="n">
        <f aca="false">IF($B10="","",IFERROR(K10/N_SISWA,0))</f>
        <v>0.548387096774194</v>
      </c>
      <c r="M10" s="40" t="n">
        <f aca="false">IF($B10="","",COUNTIFS(JAWABAN!$I$6:$I$55,"C",SKOR!$AW$6:$AW$55,"&lt;="&amp;N_GRUP))</f>
        <v>6</v>
      </c>
      <c r="N10" s="40" t="n">
        <f aca="false">IF($B10="","",COUNTIFS(JAWABAN!$I$6:$I$55,"C",SKOR!$AW$6:$AW$55,"&gt;"&amp;(N_SISWA-N_GRUP)))</f>
        <v>4</v>
      </c>
      <c r="O10" s="40" t="n">
        <f aca="false">IF($B10="","",COUNTIFS(JAWABAN!$I$6:$I$55,"D",SKOR!$AS$6:$AS$55,"&gt;=0"))</f>
        <v>4</v>
      </c>
      <c r="P10" s="39" t="n">
        <f aca="false">IF($B10="","",IFERROR(O10/N_SISWA,0))</f>
        <v>0.129032258064516</v>
      </c>
      <c r="Q10" s="40" t="n">
        <f aca="false">IF($B10="","",COUNTIFS(JAWABAN!$I$6:$I$55,"D",SKOR!$AW$6:$AW$55,"&lt;="&amp;N_GRUP))</f>
        <v>0</v>
      </c>
      <c r="R10" s="40" t="n">
        <f aca="false">IF($B10="","",COUNTIFS(JAWABAN!$I$6:$I$55,"D",SKOR!$AW$6:$AW$55,"&gt;"&amp;(N_SISWA-N_GRUP)))</f>
        <v>1</v>
      </c>
      <c r="S10" s="16" t="n">
        <f aca="false">IF($B10="","",N_SISWA-(C10+G10+K10+O10))</f>
        <v>2</v>
      </c>
      <c r="T10" s="16" t="n">
        <f aca="false">IF($B10="","",($B10&lt;&gt;"A")*(D10&gt;=PERSEN_PENGECOH)+($B10&lt;&gt;"B")*(H10&gt;=PERSEN_PENGECOH)+($B10&lt;&gt;"C")*(L10&gt;=PERSEN_PENGECOH)+($B10&lt;&gt;"D")*(P10&gt;=PERSEN_PENGECOH))</f>
        <v>3</v>
      </c>
      <c r="U10" s="16" t="str">
        <f aca="false">IF($B10="","",IF(T10=3,"-",TRIM(IF(AND($B10&lt;&gt;"A",D10&lt;PERSEN_PENGECOH),"A ","")&amp;IF(AND($B10&lt;&gt;"B",H10&lt;PERSEN_PENGECOH),"B ","")&amp;IF(AND($B10&lt;&gt;"C",L10&lt;PERSEN_PENGECOH),"C ","")&amp;IF(AND($B10&lt;&gt;"D",P10&lt;PERSEN_PENGECOH),"D ",""))))</f>
        <v>-</v>
      </c>
    </row>
    <row r="11" customFormat="false" ht="15" hidden="false" customHeight="true" outlineLevel="0" collapsed="false">
      <c r="A11" s="16" t="n">
        <v>6</v>
      </c>
      <c r="B11" s="16" t="str">
        <f aca="false">ANALISIS!B11</f>
        <v>C</v>
      </c>
      <c r="C11" s="16" t="n">
        <f aca="false">IF($B11="","",COUNTIFS(JAWABAN!$J$6:$J$55,"A",SKOR!$AS$6:$AS$55,"&gt;=0"))</f>
        <v>3</v>
      </c>
      <c r="D11" s="39" t="n">
        <f aca="false">IF($B11="","",IFERROR(C11/N_SISWA,0))</f>
        <v>0.0967741935483871</v>
      </c>
      <c r="E11" s="16" t="n">
        <f aca="false">IF($B11="","",COUNTIFS(JAWABAN!$J$6:$J$55,"A",SKOR!$AW$6:$AW$55,"&lt;="&amp;N_GRUP))</f>
        <v>0</v>
      </c>
      <c r="F11" s="16" t="n">
        <f aca="false">IF($B11="","",COUNTIFS(JAWABAN!$J$6:$J$55,"A",SKOR!$AW$6:$AW$55,"&gt;"&amp;(N_SISWA-N_GRUP)))</f>
        <v>2</v>
      </c>
      <c r="G11" s="16" t="n">
        <f aca="false">IF($B11="","",COUNTIFS(JAWABAN!$J$6:$J$55,"B",SKOR!$AS$6:$AS$55,"&gt;=0"))</f>
        <v>6</v>
      </c>
      <c r="H11" s="39" t="n">
        <f aca="false">IF($B11="","",IFERROR(G11/N_SISWA,0))</f>
        <v>0.193548387096774</v>
      </c>
      <c r="I11" s="16" t="n">
        <f aca="false">IF($B11="","",COUNTIFS(JAWABAN!$J$6:$J$55,"B",SKOR!$AW$6:$AW$55,"&lt;="&amp;N_GRUP))</f>
        <v>2</v>
      </c>
      <c r="J11" s="16" t="n">
        <f aca="false">IF($B11="","",COUNTIFS(JAWABAN!$J$6:$J$55,"B",SKOR!$AW$6:$AW$55,"&gt;"&amp;(N_SISWA-N_GRUP)))</f>
        <v>1</v>
      </c>
      <c r="K11" s="40" t="n">
        <f aca="false">IF($B11="","",COUNTIFS(JAWABAN!$J$6:$J$55,"C",SKOR!$AS$6:$AS$55,"&gt;=0"))</f>
        <v>16</v>
      </c>
      <c r="L11" s="39" t="n">
        <f aca="false">IF($B11="","",IFERROR(K11/N_SISWA,0))</f>
        <v>0.516129032258065</v>
      </c>
      <c r="M11" s="40" t="n">
        <f aca="false">IF($B11="","",COUNTIFS(JAWABAN!$J$6:$J$55,"C",SKOR!$AW$6:$AW$55,"&lt;="&amp;N_GRUP))</f>
        <v>6</v>
      </c>
      <c r="N11" s="40" t="n">
        <f aca="false">IF($B11="","",COUNTIFS(JAWABAN!$J$6:$J$55,"C",SKOR!$AW$6:$AW$55,"&gt;"&amp;(N_SISWA-N_GRUP)))</f>
        <v>0</v>
      </c>
      <c r="O11" s="40" t="n">
        <f aca="false">IF($B11="","",COUNTIFS(JAWABAN!$J$6:$J$55,"D",SKOR!$AS$6:$AS$55,"&gt;=0"))</f>
        <v>3</v>
      </c>
      <c r="P11" s="39" t="n">
        <f aca="false">IF($B11="","",IFERROR(O11/N_SISWA,0))</f>
        <v>0.0967741935483871</v>
      </c>
      <c r="Q11" s="40" t="n">
        <f aca="false">IF($B11="","",COUNTIFS(JAWABAN!$J$6:$J$55,"D",SKOR!$AW$6:$AW$55,"&lt;="&amp;N_GRUP))</f>
        <v>0</v>
      </c>
      <c r="R11" s="40" t="n">
        <f aca="false">IF($B11="","",COUNTIFS(JAWABAN!$J$6:$J$55,"D",SKOR!$AW$6:$AW$55,"&gt;"&amp;(N_SISWA-N_GRUP)))</f>
        <v>2</v>
      </c>
      <c r="S11" s="16" t="n">
        <f aca="false">IF($B11="","",N_SISWA-(C11+G11+K11+O11))</f>
        <v>3</v>
      </c>
      <c r="T11" s="16" t="n">
        <f aca="false">IF($B11="","",($B11&lt;&gt;"A")*(D11&gt;=PERSEN_PENGECOH)+($B11&lt;&gt;"B")*(H11&gt;=PERSEN_PENGECOH)+($B11&lt;&gt;"C")*(L11&gt;=PERSEN_PENGECOH)+($B11&lt;&gt;"D")*(P11&gt;=PERSEN_PENGECOH))</f>
        <v>3</v>
      </c>
      <c r="U11" s="16" t="str">
        <f aca="false">IF($B11="","",IF(T11=3,"-",TRIM(IF(AND($B11&lt;&gt;"A",D11&lt;PERSEN_PENGECOH),"A ","")&amp;IF(AND($B11&lt;&gt;"B",H11&lt;PERSEN_PENGECOH),"B ","")&amp;IF(AND($B11&lt;&gt;"C",L11&lt;PERSEN_PENGECOH),"C ","")&amp;IF(AND($B11&lt;&gt;"D",P11&lt;PERSEN_PENGECOH),"D ",""))))</f>
        <v>-</v>
      </c>
    </row>
    <row r="12" customFormat="false" ht="15" hidden="false" customHeight="true" outlineLevel="0" collapsed="false">
      <c r="A12" s="16" t="n">
        <v>7</v>
      </c>
      <c r="B12" s="16" t="str">
        <f aca="false">ANALISIS!B12</f>
        <v>B</v>
      </c>
      <c r="C12" s="16" t="n">
        <f aca="false">IF($B12="","",COUNTIFS(JAWABAN!$K$6:$K$55,"A",SKOR!$AS$6:$AS$55,"&gt;=0"))</f>
        <v>1</v>
      </c>
      <c r="D12" s="39" t="n">
        <f aca="false">IF($B12="","",IFERROR(C12/N_SISWA,0))</f>
        <v>0.032258064516129</v>
      </c>
      <c r="E12" s="16" t="n">
        <f aca="false">IF($B12="","",COUNTIFS(JAWABAN!$K$6:$K$55,"A",SKOR!$AW$6:$AW$55,"&lt;="&amp;N_GRUP))</f>
        <v>0</v>
      </c>
      <c r="F12" s="16" t="n">
        <f aca="false">IF($B12="","",COUNTIFS(JAWABAN!$K$6:$K$55,"A",SKOR!$AW$6:$AW$55,"&gt;"&amp;(N_SISWA-N_GRUP)))</f>
        <v>1</v>
      </c>
      <c r="G12" s="16" t="n">
        <f aca="false">IF($B12="","",COUNTIFS(JAWABAN!$K$6:$K$55,"B",SKOR!$AS$6:$AS$55,"&gt;=0"))</f>
        <v>18</v>
      </c>
      <c r="H12" s="39" t="n">
        <f aca="false">IF($B12="","",IFERROR(G12/N_SISWA,0))</f>
        <v>0.580645161290323</v>
      </c>
      <c r="I12" s="16" t="n">
        <f aca="false">IF($B12="","",COUNTIFS(JAWABAN!$K$6:$K$55,"B",SKOR!$AW$6:$AW$55,"&lt;="&amp;N_GRUP))</f>
        <v>7</v>
      </c>
      <c r="J12" s="16" t="n">
        <f aca="false">IF($B12="","",COUNTIFS(JAWABAN!$K$6:$K$55,"B",SKOR!$AW$6:$AW$55,"&gt;"&amp;(N_SISWA-N_GRUP)))</f>
        <v>3</v>
      </c>
      <c r="K12" s="40" t="n">
        <f aca="false">IF($B12="","",COUNTIFS(JAWABAN!$K$6:$K$55,"C",SKOR!$AS$6:$AS$55,"&gt;=0"))</f>
        <v>5</v>
      </c>
      <c r="L12" s="39" t="n">
        <f aca="false">IF($B12="","",IFERROR(K12/N_SISWA,0))</f>
        <v>0.161290322580645</v>
      </c>
      <c r="M12" s="40" t="n">
        <f aca="false">IF($B12="","",COUNTIFS(JAWABAN!$K$6:$K$55,"C",SKOR!$AW$6:$AW$55,"&lt;="&amp;N_GRUP))</f>
        <v>1</v>
      </c>
      <c r="N12" s="40" t="n">
        <f aca="false">IF($B12="","",COUNTIFS(JAWABAN!$K$6:$K$55,"C",SKOR!$AW$6:$AW$55,"&gt;"&amp;(N_SISWA-N_GRUP)))</f>
        <v>2</v>
      </c>
      <c r="O12" s="40" t="n">
        <f aca="false">IF($B12="","",COUNTIFS(JAWABAN!$K$6:$K$55,"D",SKOR!$AS$6:$AS$55,"&gt;=0"))</f>
        <v>5</v>
      </c>
      <c r="P12" s="39" t="n">
        <f aca="false">IF($B12="","",IFERROR(O12/N_SISWA,0))</f>
        <v>0.161290322580645</v>
      </c>
      <c r="Q12" s="40" t="n">
        <f aca="false">IF($B12="","",COUNTIFS(JAWABAN!$K$6:$K$55,"D",SKOR!$AW$6:$AW$55,"&lt;="&amp;N_GRUP))</f>
        <v>0</v>
      </c>
      <c r="R12" s="40" t="n">
        <f aca="false">IF($B12="","",COUNTIFS(JAWABAN!$K$6:$K$55,"D",SKOR!$AW$6:$AW$55,"&gt;"&amp;(N_SISWA-N_GRUP)))</f>
        <v>2</v>
      </c>
      <c r="S12" s="16" t="n">
        <f aca="false">IF($B12="","",N_SISWA-(C12+G12+K12+O12))</f>
        <v>2</v>
      </c>
      <c r="T12" s="16" t="n">
        <f aca="false">IF($B12="","",($B12&lt;&gt;"A")*(D12&gt;=PERSEN_PENGECOH)+($B12&lt;&gt;"B")*(H12&gt;=PERSEN_PENGECOH)+($B12&lt;&gt;"C")*(L12&gt;=PERSEN_PENGECOH)+($B12&lt;&gt;"D")*(P12&gt;=PERSEN_PENGECOH))</f>
        <v>2</v>
      </c>
      <c r="U12" s="16" t="str">
        <f aca="false">IF($B12="","",IF(T12=3,"-",TRIM(IF(AND($B12&lt;&gt;"A",D12&lt;PERSEN_PENGECOH),"A ","")&amp;IF(AND($B12&lt;&gt;"B",H12&lt;PERSEN_PENGECOH),"B ","")&amp;IF(AND($B12&lt;&gt;"C",L12&lt;PERSEN_PENGECOH),"C ","")&amp;IF(AND($B12&lt;&gt;"D",P12&lt;PERSEN_PENGECOH),"D ",""))))</f>
        <v>A</v>
      </c>
    </row>
    <row r="13" customFormat="false" ht="15" hidden="false" customHeight="true" outlineLevel="0" collapsed="false">
      <c r="A13" s="16" t="n">
        <v>8</v>
      </c>
      <c r="B13" s="16" t="str">
        <f aca="false">ANALISIS!B13</f>
        <v>D</v>
      </c>
      <c r="C13" s="16" t="n">
        <f aca="false">IF($B13="","",COUNTIFS(JAWABAN!$L$6:$L$55,"A",SKOR!$AS$6:$AS$55,"&gt;=0"))</f>
        <v>2</v>
      </c>
      <c r="D13" s="39" t="n">
        <f aca="false">IF($B13="","",IFERROR(C13/N_SISWA,0))</f>
        <v>0.0645161290322581</v>
      </c>
      <c r="E13" s="16" t="n">
        <f aca="false">IF($B13="","",COUNTIFS(JAWABAN!$L$6:$L$55,"A",SKOR!$AW$6:$AW$55,"&lt;="&amp;N_GRUP))</f>
        <v>0</v>
      </c>
      <c r="F13" s="16" t="n">
        <f aca="false">IF($B13="","",COUNTIFS(JAWABAN!$L$6:$L$55,"A",SKOR!$AW$6:$AW$55,"&gt;"&amp;(N_SISWA-N_GRUP)))</f>
        <v>2</v>
      </c>
      <c r="G13" s="16" t="n">
        <f aca="false">IF($B13="","",COUNTIFS(JAWABAN!$L$6:$L$55,"B",SKOR!$AS$6:$AS$55,"&gt;=0"))</f>
        <v>1</v>
      </c>
      <c r="H13" s="39" t="n">
        <f aca="false">IF($B13="","",IFERROR(G13/N_SISWA,0))</f>
        <v>0.032258064516129</v>
      </c>
      <c r="I13" s="16" t="n">
        <f aca="false">IF($B13="","",COUNTIFS(JAWABAN!$L$6:$L$55,"B",SKOR!$AW$6:$AW$55,"&lt;="&amp;N_GRUP))</f>
        <v>0</v>
      </c>
      <c r="J13" s="16" t="n">
        <f aca="false">IF($B13="","",COUNTIFS(JAWABAN!$L$6:$L$55,"B",SKOR!$AW$6:$AW$55,"&gt;"&amp;(N_SISWA-N_GRUP)))</f>
        <v>0</v>
      </c>
      <c r="K13" s="40" t="n">
        <f aca="false">IF($B13="","",COUNTIFS(JAWABAN!$L$6:$L$55,"C",SKOR!$AS$6:$AS$55,"&gt;=0"))</f>
        <v>2</v>
      </c>
      <c r="L13" s="39" t="n">
        <f aca="false">IF($B13="","",IFERROR(K13/N_SISWA,0))</f>
        <v>0.0645161290322581</v>
      </c>
      <c r="M13" s="40" t="n">
        <f aca="false">IF($B13="","",COUNTIFS(JAWABAN!$L$6:$L$55,"C",SKOR!$AW$6:$AW$55,"&lt;="&amp;N_GRUP))</f>
        <v>0</v>
      </c>
      <c r="N13" s="40" t="n">
        <f aca="false">IF($B13="","",COUNTIFS(JAWABAN!$L$6:$L$55,"C",SKOR!$AW$6:$AW$55,"&gt;"&amp;(N_SISWA-N_GRUP)))</f>
        <v>1</v>
      </c>
      <c r="O13" s="40" t="n">
        <f aca="false">IF($B13="","",COUNTIFS(JAWABAN!$L$6:$L$55,"D",SKOR!$AS$6:$AS$55,"&gt;=0"))</f>
        <v>26</v>
      </c>
      <c r="P13" s="39" t="n">
        <f aca="false">IF($B13="","",IFERROR(O13/N_SISWA,0))</f>
        <v>0.838709677419355</v>
      </c>
      <c r="Q13" s="40" t="n">
        <f aca="false">IF($B13="","",COUNTIFS(JAWABAN!$L$6:$L$55,"D",SKOR!$AW$6:$AW$55,"&lt;="&amp;N_GRUP))</f>
        <v>8</v>
      </c>
      <c r="R13" s="40" t="n">
        <f aca="false">IF($B13="","",COUNTIFS(JAWABAN!$L$6:$L$55,"D",SKOR!$AW$6:$AW$55,"&gt;"&amp;(N_SISWA-N_GRUP)))</f>
        <v>5</v>
      </c>
      <c r="S13" s="16" t="n">
        <f aca="false">IF($B13="","",N_SISWA-(C13+G13+K13+O13))</f>
        <v>0</v>
      </c>
      <c r="T13" s="16" t="n">
        <f aca="false">IF($B13="","",($B13&lt;&gt;"A")*(D13&gt;=PERSEN_PENGECOH)+($B13&lt;&gt;"B")*(H13&gt;=PERSEN_PENGECOH)+($B13&lt;&gt;"C")*(L13&gt;=PERSEN_PENGECOH)+($B13&lt;&gt;"D")*(P13&gt;=PERSEN_PENGECOH))</f>
        <v>2</v>
      </c>
      <c r="U13" s="16" t="str">
        <f aca="false">IF($B13="","",IF(T13=3,"-",TRIM(IF(AND($B13&lt;&gt;"A",D13&lt;PERSEN_PENGECOH),"A ","")&amp;IF(AND($B13&lt;&gt;"B",H13&lt;PERSEN_PENGECOH),"B ","")&amp;IF(AND($B13&lt;&gt;"C",L13&lt;PERSEN_PENGECOH),"C ","")&amp;IF(AND($B13&lt;&gt;"D",P13&lt;PERSEN_PENGECOH),"D ",""))))</f>
        <v>B</v>
      </c>
    </row>
    <row r="14" customFormat="false" ht="15" hidden="false" customHeight="true" outlineLevel="0" collapsed="false">
      <c r="A14" s="16" t="n">
        <v>9</v>
      </c>
      <c r="B14" s="16" t="str">
        <f aca="false">ANALISIS!B14</f>
        <v>D</v>
      </c>
      <c r="C14" s="16" t="n">
        <f aca="false">IF($B14="","",COUNTIFS(JAWABAN!$M$6:$M$55,"A",SKOR!$AS$6:$AS$55,"&gt;=0"))</f>
        <v>4</v>
      </c>
      <c r="D14" s="39" t="n">
        <f aca="false">IF($B14="","",IFERROR(C14/N_SISWA,0))</f>
        <v>0.129032258064516</v>
      </c>
      <c r="E14" s="16" t="n">
        <f aca="false">IF($B14="","",COUNTIFS(JAWABAN!$M$6:$M$55,"A",SKOR!$AW$6:$AW$55,"&lt;="&amp;N_GRUP))</f>
        <v>1</v>
      </c>
      <c r="F14" s="16" t="n">
        <f aca="false">IF($B14="","",COUNTIFS(JAWABAN!$M$6:$M$55,"A",SKOR!$AW$6:$AW$55,"&gt;"&amp;(N_SISWA-N_GRUP)))</f>
        <v>1</v>
      </c>
      <c r="G14" s="16" t="n">
        <f aca="false">IF($B14="","",COUNTIFS(JAWABAN!$M$6:$M$55,"B",SKOR!$AS$6:$AS$55,"&gt;=0"))</f>
        <v>7</v>
      </c>
      <c r="H14" s="39" t="n">
        <f aca="false">IF($B14="","",IFERROR(G14/N_SISWA,0))</f>
        <v>0.225806451612903</v>
      </c>
      <c r="I14" s="16" t="n">
        <f aca="false">IF($B14="","",COUNTIFS(JAWABAN!$M$6:$M$55,"B",SKOR!$AW$6:$AW$55,"&lt;="&amp;N_GRUP))</f>
        <v>2</v>
      </c>
      <c r="J14" s="16" t="n">
        <f aca="false">IF($B14="","",COUNTIFS(JAWABAN!$M$6:$M$55,"B",SKOR!$AW$6:$AW$55,"&gt;"&amp;(N_SISWA-N_GRUP)))</f>
        <v>3</v>
      </c>
      <c r="K14" s="40" t="n">
        <f aca="false">IF($B14="","",COUNTIFS(JAWABAN!$M$6:$M$55,"C",SKOR!$AS$6:$AS$55,"&gt;=0"))</f>
        <v>5</v>
      </c>
      <c r="L14" s="39" t="n">
        <f aca="false">IF($B14="","",IFERROR(K14/N_SISWA,0))</f>
        <v>0.161290322580645</v>
      </c>
      <c r="M14" s="40" t="n">
        <f aca="false">IF($B14="","",COUNTIFS(JAWABAN!$M$6:$M$55,"C",SKOR!$AW$6:$AW$55,"&lt;="&amp;N_GRUP))</f>
        <v>0</v>
      </c>
      <c r="N14" s="40" t="n">
        <f aca="false">IF($B14="","",COUNTIFS(JAWABAN!$M$6:$M$55,"C",SKOR!$AW$6:$AW$55,"&gt;"&amp;(N_SISWA-N_GRUP)))</f>
        <v>2</v>
      </c>
      <c r="O14" s="40" t="n">
        <f aca="false">IF($B14="","",COUNTIFS(JAWABAN!$M$6:$M$55,"D",SKOR!$AS$6:$AS$55,"&gt;=0"))</f>
        <v>14</v>
      </c>
      <c r="P14" s="39" t="n">
        <f aca="false">IF($B14="","",IFERROR(O14/N_SISWA,0))</f>
        <v>0.451612903225806</v>
      </c>
      <c r="Q14" s="40" t="n">
        <f aca="false">IF($B14="","",COUNTIFS(JAWABAN!$M$6:$M$55,"D",SKOR!$AW$6:$AW$55,"&lt;="&amp;N_GRUP))</f>
        <v>4</v>
      </c>
      <c r="R14" s="40" t="n">
        <f aca="false">IF($B14="","",COUNTIFS(JAWABAN!$M$6:$M$55,"D",SKOR!$AW$6:$AW$55,"&gt;"&amp;(N_SISWA-N_GRUP)))</f>
        <v>2</v>
      </c>
      <c r="S14" s="16" t="n">
        <f aca="false">IF($B14="","",N_SISWA-(C14+G14+K14+O14))</f>
        <v>1</v>
      </c>
      <c r="T14" s="16" t="n">
        <f aca="false">IF($B14="","",($B14&lt;&gt;"A")*(D14&gt;=PERSEN_PENGECOH)+($B14&lt;&gt;"B")*(H14&gt;=PERSEN_PENGECOH)+($B14&lt;&gt;"C")*(L14&gt;=PERSEN_PENGECOH)+($B14&lt;&gt;"D")*(P14&gt;=PERSEN_PENGECOH))</f>
        <v>3</v>
      </c>
      <c r="U14" s="16" t="str">
        <f aca="false">IF($B14="","",IF(T14=3,"-",TRIM(IF(AND($B14&lt;&gt;"A",D14&lt;PERSEN_PENGECOH),"A ","")&amp;IF(AND($B14&lt;&gt;"B",H14&lt;PERSEN_PENGECOH),"B ","")&amp;IF(AND($B14&lt;&gt;"C",L14&lt;PERSEN_PENGECOH),"C ","")&amp;IF(AND($B14&lt;&gt;"D",P14&lt;PERSEN_PENGECOH),"D ",""))))</f>
        <v>-</v>
      </c>
    </row>
    <row r="15" customFormat="false" ht="15" hidden="false" customHeight="true" outlineLevel="0" collapsed="false">
      <c r="A15" s="16" t="n">
        <v>10</v>
      </c>
      <c r="B15" s="16" t="str">
        <f aca="false">ANALISIS!B15</f>
        <v>C</v>
      </c>
      <c r="C15" s="16" t="n">
        <f aca="false">IF($B15="","",COUNTIFS(JAWABAN!$N$6:$N$55,"A",SKOR!$AS$6:$AS$55,"&gt;=0"))</f>
        <v>7</v>
      </c>
      <c r="D15" s="39" t="n">
        <f aca="false">IF($B15="","",IFERROR(C15/N_SISWA,0))</f>
        <v>0.225806451612903</v>
      </c>
      <c r="E15" s="16" t="n">
        <f aca="false">IF($B15="","",COUNTIFS(JAWABAN!$N$6:$N$55,"A",SKOR!$AW$6:$AW$55,"&lt;="&amp;N_GRUP))</f>
        <v>2</v>
      </c>
      <c r="F15" s="16" t="n">
        <f aca="false">IF($B15="","",COUNTIFS(JAWABAN!$N$6:$N$55,"A",SKOR!$AW$6:$AW$55,"&gt;"&amp;(N_SISWA-N_GRUP)))</f>
        <v>3</v>
      </c>
      <c r="G15" s="16" t="n">
        <f aca="false">IF($B15="","",COUNTIFS(JAWABAN!$N$6:$N$55,"B",SKOR!$AS$6:$AS$55,"&gt;=0"))</f>
        <v>6</v>
      </c>
      <c r="H15" s="39" t="n">
        <f aca="false">IF($B15="","",IFERROR(G15/N_SISWA,0))</f>
        <v>0.193548387096774</v>
      </c>
      <c r="I15" s="16" t="n">
        <f aca="false">IF($B15="","",COUNTIFS(JAWABAN!$N$6:$N$55,"B",SKOR!$AW$6:$AW$55,"&lt;="&amp;N_GRUP))</f>
        <v>1</v>
      </c>
      <c r="J15" s="16" t="n">
        <f aca="false">IF($B15="","",COUNTIFS(JAWABAN!$N$6:$N$55,"B",SKOR!$AW$6:$AW$55,"&gt;"&amp;(N_SISWA-N_GRUP)))</f>
        <v>4</v>
      </c>
      <c r="K15" s="40" t="n">
        <f aca="false">IF($B15="","",COUNTIFS(JAWABAN!$N$6:$N$55,"C",SKOR!$AS$6:$AS$55,"&gt;=0"))</f>
        <v>15</v>
      </c>
      <c r="L15" s="39" t="n">
        <f aca="false">IF($B15="","",IFERROR(K15/N_SISWA,0))</f>
        <v>0.483870967741936</v>
      </c>
      <c r="M15" s="40" t="n">
        <f aca="false">IF($B15="","",COUNTIFS(JAWABAN!$N$6:$N$55,"C",SKOR!$AW$6:$AW$55,"&lt;="&amp;N_GRUP))</f>
        <v>5</v>
      </c>
      <c r="N15" s="40" t="n">
        <f aca="false">IF($B15="","",COUNTIFS(JAWABAN!$N$6:$N$55,"C",SKOR!$AW$6:$AW$55,"&gt;"&amp;(N_SISWA-N_GRUP)))</f>
        <v>1</v>
      </c>
      <c r="O15" s="40" t="n">
        <f aca="false">IF($B15="","",COUNTIFS(JAWABAN!$N$6:$N$55,"D",SKOR!$AS$6:$AS$55,"&gt;=0"))</f>
        <v>2</v>
      </c>
      <c r="P15" s="39" t="n">
        <f aca="false">IF($B15="","",IFERROR(O15/N_SISWA,0))</f>
        <v>0.0645161290322581</v>
      </c>
      <c r="Q15" s="40" t="n">
        <f aca="false">IF($B15="","",COUNTIFS(JAWABAN!$N$6:$N$55,"D",SKOR!$AW$6:$AW$55,"&lt;="&amp;N_GRUP))</f>
        <v>0</v>
      </c>
      <c r="R15" s="40" t="n">
        <f aca="false">IF($B15="","",COUNTIFS(JAWABAN!$N$6:$N$55,"D",SKOR!$AW$6:$AW$55,"&gt;"&amp;(N_SISWA-N_GRUP)))</f>
        <v>0</v>
      </c>
      <c r="S15" s="16" t="n">
        <f aca="false">IF($B15="","",N_SISWA-(C15+G15+K15+O15))</f>
        <v>1</v>
      </c>
      <c r="T15" s="16" t="n">
        <f aca="false">IF($B15="","",($B15&lt;&gt;"A")*(D15&gt;=PERSEN_PENGECOH)+($B15&lt;&gt;"B")*(H15&gt;=PERSEN_PENGECOH)+($B15&lt;&gt;"C")*(L15&gt;=PERSEN_PENGECOH)+($B15&lt;&gt;"D")*(P15&gt;=PERSEN_PENGECOH))</f>
        <v>3</v>
      </c>
      <c r="U15" s="16" t="str">
        <f aca="false">IF($B15="","",IF(T15=3,"-",TRIM(IF(AND($B15&lt;&gt;"A",D15&lt;PERSEN_PENGECOH),"A ","")&amp;IF(AND($B15&lt;&gt;"B",H15&lt;PERSEN_PENGECOH),"B ","")&amp;IF(AND($B15&lt;&gt;"C",L15&lt;PERSEN_PENGECOH),"C ","")&amp;IF(AND($B15&lt;&gt;"D",P15&lt;PERSEN_PENGECOH),"D ",""))))</f>
        <v>-</v>
      </c>
    </row>
    <row r="16" customFormat="false" ht="15" hidden="false" customHeight="true" outlineLevel="0" collapsed="false">
      <c r="A16" s="16" t="n">
        <v>11</v>
      </c>
      <c r="B16" s="16" t="str">
        <f aca="false">ANALISIS!B16</f>
        <v>C</v>
      </c>
      <c r="C16" s="16" t="n">
        <f aca="false">IF($B16="","",COUNTIFS(JAWABAN!$O$6:$O$55,"A",SKOR!$AS$6:$AS$55,"&gt;=0"))</f>
        <v>4</v>
      </c>
      <c r="D16" s="39" t="n">
        <f aca="false">IF($B16="","",IFERROR(C16/N_SISWA,0))</f>
        <v>0.129032258064516</v>
      </c>
      <c r="E16" s="16" t="n">
        <f aca="false">IF($B16="","",COUNTIFS(JAWABAN!$O$6:$O$55,"A",SKOR!$AW$6:$AW$55,"&lt;="&amp;N_GRUP))</f>
        <v>0</v>
      </c>
      <c r="F16" s="16" t="n">
        <f aca="false">IF($B16="","",COUNTIFS(JAWABAN!$O$6:$O$55,"A",SKOR!$AW$6:$AW$55,"&gt;"&amp;(N_SISWA-N_GRUP)))</f>
        <v>2</v>
      </c>
      <c r="G16" s="16" t="n">
        <f aca="false">IF($B16="","",COUNTIFS(JAWABAN!$O$6:$O$55,"B",SKOR!$AS$6:$AS$55,"&gt;=0"))</f>
        <v>2</v>
      </c>
      <c r="H16" s="39" t="n">
        <f aca="false">IF($B16="","",IFERROR(G16/N_SISWA,0))</f>
        <v>0.0645161290322581</v>
      </c>
      <c r="I16" s="16" t="n">
        <f aca="false">IF($B16="","",COUNTIFS(JAWABAN!$O$6:$O$55,"B",SKOR!$AW$6:$AW$55,"&lt;="&amp;N_GRUP))</f>
        <v>0</v>
      </c>
      <c r="J16" s="16" t="n">
        <f aca="false">IF($B16="","",COUNTIFS(JAWABAN!$O$6:$O$55,"B",SKOR!$AW$6:$AW$55,"&gt;"&amp;(N_SISWA-N_GRUP)))</f>
        <v>2</v>
      </c>
      <c r="K16" s="40" t="n">
        <f aca="false">IF($B16="","",COUNTIFS(JAWABAN!$O$6:$O$55,"C",SKOR!$AS$6:$AS$55,"&gt;=0"))</f>
        <v>20</v>
      </c>
      <c r="L16" s="39" t="n">
        <f aca="false">IF($B16="","",IFERROR(K16/N_SISWA,0))</f>
        <v>0.645161290322581</v>
      </c>
      <c r="M16" s="40" t="n">
        <f aca="false">IF($B16="","",COUNTIFS(JAWABAN!$O$6:$O$55,"C",SKOR!$AW$6:$AW$55,"&lt;="&amp;N_GRUP))</f>
        <v>7</v>
      </c>
      <c r="N16" s="40" t="n">
        <f aca="false">IF($B16="","",COUNTIFS(JAWABAN!$O$6:$O$55,"C",SKOR!$AW$6:$AW$55,"&gt;"&amp;(N_SISWA-N_GRUP)))</f>
        <v>2</v>
      </c>
      <c r="O16" s="40" t="n">
        <f aca="false">IF($B16="","",COUNTIFS(JAWABAN!$O$6:$O$55,"D",SKOR!$AS$6:$AS$55,"&gt;=0"))</f>
        <v>4</v>
      </c>
      <c r="P16" s="39" t="n">
        <f aca="false">IF($B16="","",IFERROR(O16/N_SISWA,0))</f>
        <v>0.129032258064516</v>
      </c>
      <c r="Q16" s="40" t="n">
        <f aca="false">IF($B16="","",COUNTIFS(JAWABAN!$O$6:$O$55,"D",SKOR!$AW$6:$AW$55,"&lt;="&amp;N_GRUP))</f>
        <v>1</v>
      </c>
      <c r="R16" s="40" t="n">
        <f aca="false">IF($B16="","",COUNTIFS(JAWABAN!$O$6:$O$55,"D",SKOR!$AW$6:$AW$55,"&gt;"&amp;(N_SISWA-N_GRUP)))</f>
        <v>1</v>
      </c>
      <c r="S16" s="16" t="n">
        <f aca="false">IF($B16="","",N_SISWA-(C16+G16+K16+O16))</f>
        <v>1</v>
      </c>
      <c r="T16" s="16" t="n">
        <f aca="false">IF($B16="","",($B16&lt;&gt;"A")*(D16&gt;=PERSEN_PENGECOH)+($B16&lt;&gt;"B")*(H16&gt;=PERSEN_PENGECOH)+($B16&lt;&gt;"C")*(L16&gt;=PERSEN_PENGECOH)+($B16&lt;&gt;"D")*(P16&gt;=PERSEN_PENGECOH))</f>
        <v>3</v>
      </c>
      <c r="U16" s="16" t="str">
        <f aca="false">IF($B16="","",IF(T16=3,"-",TRIM(IF(AND($B16&lt;&gt;"A",D16&lt;PERSEN_PENGECOH),"A ","")&amp;IF(AND($B16&lt;&gt;"B",H16&lt;PERSEN_PENGECOH),"B ","")&amp;IF(AND($B16&lt;&gt;"C",L16&lt;PERSEN_PENGECOH),"C ","")&amp;IF(AND($B16&lt;&gt;"D",P16&lt;PERSEN_PENGECOH),"D ",""))))</f>
        <v>-</v>
      </c>
    </row>
    <row r="17" customFormat="false" ht="15" hidden="false" customHeight="true" outlineLevel="0" collapsed="false">
      <c r="A17" s="16" t="n">
        <v>12</v>
      </c>
      <c r="B17" s="16" t="str">
        <f aca="false">ANALISIS!B17</f>
        <v>C</v>
      </c>
      <c r="C17" s="16" t="n">
        <f aca="false">IF($B17="","",COUNTIFS(JAWABAN!$P$6:$P$55,"A",SKOR!$AS$6:$AS$55,"&gt;=0"))</f>
        <v>1</v>
      </c>
      <c r="D17" s="39" t="n">
        <f aca="false">IF($B17="","",IFERROR(C17/N_SISWA,0))</f>
        <v>0.032258064516129</v>
      </c>
      <c r="E17" s="16" t="n">
        <f aca="false">IF($B17="","",COUNTIFS(JAWABAN!$P$6:$P$55,"A",SKOR!$AW$6:$AW$55,"&lt;="&amp;N_GRUP))</f>
        <v>0</v>
      </c>
      <c r="F17" s="16" t="n">
        <f aca="false">IF($B17="","",COUNTIFS(JAWABAN!$P$6:$P$55,"A",SKOR!$AW$6:$AW$55,"&gt;"&amp;(N_SISWA-N_GRUP)))</f>
        <v>1</v>
      </c>
      <c r="G17" s="16" t="n">
        <f aca="false">IF($B17="","",COUNTIFS(JAWABAN!$P$6:$P$55,"B",SKOR!$AS$6:$AS$55,"&gt;=0"))</f>
        <v>7</v>
      </c>
      <c r="H17" s="39" t="n">
        <f aca="false">IF($B17="","",IFERROR(G17/N_SISWA,0))</f>
        <v>0.225806451612903</v>
      </c>
      <c r="I17" s="16" t="n">
        <f aca="false">IF($B17="","",COUNTIFS(JAWABAN!$P$6:$P$55,"B",SKOR!$AW$6:$AW$55,"&lt;="&amp;N_GRUP))</f>
        <v>0</v>
      </c>
      <c r="J17" s="16" t="n">
        <f aca="false">IF($B17="","",COUNTIFS(JAWABAN!$P$6:$P$55,"B",SKOR!$AW$6:$AW$55,"&gt;"&amp;(N_SISWA-N_GRUP)))</f>
        <v>4</v>
      </c>
      <c r="K17" s="40" t="n">
        <f aca="false">IF($B17="","",COUNTIFS(JAWABAN!$P$6:$P$55,"C",SKOR!$AS$6:$AS$55,"&gt;=0"))</f>
        <v>18</v>
      </c>
      <c r="L17" s="39" t="n">
        <f aca="false">IF($B17="","",IFERROR(K17/N_SISWA,0))</f>
        <v>0.580645161290323</v>
      </c>
      <c r="M17" s="40" t="n">
        <f aca="false">IF($B17="","",COUNTIFS(JAWABAN!$P$6:$P$55,"C",SKOR!$AW$6:$AW$55,"&lt;="&amp;N_GRUP))</f>
        <v>7</v>
      </c>
      <c r="N17" s="40" t="n">
        <f aca="false">IF($B17="","",COUNTIFS(JAWABAN!$P$6:$P$55,"C",SKOR!$AW$6:$AW$55,"&gt;"&amp;(N_SISWA-N_GRUP)))</f>
        <v>3</v>
      </c>
      <c r="O17" s="40" t="n">
        <f aca="false">IF($B17="","",COUNTIFS(JAWABAN!$P$6:$P$55,"D",SKOR!$AS$6:$AS$55,"&gt;=0"))</f>
        <v>4</v>
      </c>
      <c r="P17" s="39" t="n">
        <f aca="false">IF($B17="","",IFERROR(O17/N_SISWA,0))</f>
        <v>0.129032258064516</v>
      </c>
      <c r="Q17" s="40" t="n">
        <f aca="false">IF($B17="","",COUNTIFS(JAWABAN!$P$6:$P$55,"D",SKOR!$AW$6:$AW$55,"&lt;="&amp;N_GRUP))</f>
        <v>1</v>
      </c>
      <c r="R17" s="40" t="n">
        <f aca="false">IF($B17="","",COUNTIFS(JAWABAN!$P$6:$P$55,"D",SKOR!$AW$6:$AW$55,"&gt;"&amp;(N_SISWA-N_GRUP)))</f>
        <v>0</v>
      </c>
      <c r="S17" s="16" t="n">
        <f aca="false">IF($B17="","",N_SISWA-(C17+G17+K17+O17))</f>
        <v>1</v>
      </c>
      <c r="T17" s="16" t="n">
        <f aca="false">IF($B17="","",($B17&lt;&gt;"A")*(D17&gt;=PERSEN_PENGECOH)+($B17&lt;&gt;"B")*(H17&gt;=PERSEN_PENGECOH)+($B17&lt;&gt;"C")*(L17&gt;=PERSEN_PENGECOH)+($B17&lt;&gt;"D")*(P17&gt;=PERSEN_PENGECOH))</f>
        <v>2</v>
      </c>
      <c r="U17" s="16" t="str">
        <f aca="false">IF($B17="","",IF(T17=3,"-",TRIM(IF(AND($B17&lt;&gt;"A",D17&lt;PERSEN_PENGECOH),"A ","")&amp;IF(AND($B17&lt;&gt;"B",H17&lt;PERSEN_PENGECOH),"B ","")&amp;IF(AND($B17&lt;&gt;"C",L17&lt;PERSEN_PENGECOH),"C ","")&amp;IF(AND($B17&lt;&gt;"D",P17&lt;PERSEN_PENGECOH),"D ",""))))</f>
        <v>A</v>
      </c>
    </row>
    <row r="18" customFormat="false" ht="15" hidden="false" customHeight="true" outlineLevel="0" collapsed="false">
      <c r="A18" s="16" t="n">
        <v>13</v>
      </c>
      <c r="B18" s="16" t="str">
        <f aca="false">ANALISIS!B18</f>
        <v>D</v>
      </c>
      <c r="C18" s="16" t="n">
        <f aca="false">IF($B18="","",COUNTIFS(JAWABAN!$Q$6:$Q$55,"A",SKOR!$AS$6:$AS$55,"&gt;=0"))</f>
        <v>3</v>
      </c>
      <c r="D18" s="39" t="n">
        <f aca="false">IF($B18="","",IFERROR(C18/N_SISWA,0))</f>
        <v>0.0967741935483871</v>
      </c>
      <c r="E18" s="16" t="n">
        <f aca="false">IF($B18="","",COUNTIFS(JAWABAN!$Q$6:$Q$55,"A",SKOR!$AW$6:$AW$55,"&lt;="&amp;N_GRUP))</f>
        <v>1</v>
      </c>
      <c r="F18" s="16" t="n">
        <f aca="false">IF($B18="","",COUNTIFS(JAWABAN!$Q$6:$Q$55,"A",SKOR!$AW$6:$AW$55,"&gt;"&amp;(N_SISWA-N_GRUP)))</f>
        <v>0</v>
      </c>
      <c r="G18" s="16" t="n">
        <f aca="false">IF($B18="","",COUNTIFS(JAWABAN!$Q$6:$Q$55,"B",SKOR!$AS$6:$AS$55,"&gt;=0"))</f>
        <v>3</v>
      </c>
      <c r="H18" s="39" t="n">
        <f aca="false">IF($B18="","",IFERROR(G18/N_SISWA,0))</f>
        <v>0.0967741935483871</v>
      </c>
      <c r="I18" s="16" t="n">
        <f aca="false">IF($B18="","",COUNTIFS(JAWABAN!$Q$6:$Q$55,"B",SKOR!$AW$6:$AW$55,"&lt;="&amp;N_GRUP))</f>
        <v>0</v>
      </c>
      <c r="J18" s="16" t="n">
        <f aca="false">IF($B18="","",COUNTIFS(JAWABAN!$Q$6:$Q$55,"B",SKOR!$AW$6:$AW$55,"&gt;"&amp;(N_SISWA-N_GRUP)))</f>
        <v>1</v>
      </c>
      <c r="K18" s="40" t="n">
        <f aca="false">IF($B18="","",COUNTIFS(JAWABAN!$Q$6:$Q$55,"C",SKOR!$AS$6:$AS$55,"&gt;=0"))</f>
        <v>2</v>
      </c>
      <c r="L18" s="39" t="n">
        <f aca="false">IF($B18="","",IFERROR(K18/N_SISWA,0))</f>
        <v>0.0645161290322581</v>
      </c>
      <c r="M18" s="40" t="n">
        <f aca="false">IF($B18="","",COUNTIFS(JAWABAN!$Q$6:$Q$55,"C",SKOR!$AW$6:$AW$55,"&lt;="&amp;N_GRUP))</f>
        <v>0</v>
      </c>
      <c r="N18" s="40" t="n">
        <f aca="false">IF($B18="","",COUNTIFS(JAWABAN!$Q$6:$Q$55,"C",SKOR!$AW$6:$AW$55,"&gt;"&amp;(N_SISWA-N_GRUP)))</f>
        <v>0</v>
      </c>
      <c r="O18" s="40" t="n">
        <f aca="false">IF($B18="","",COUNTIFS(JAWABAN!$Q$6:$Q$55,"D",SKOR!$AS$6:$AS$55,"&gt;=0"))</f>
        <v>21</v>
      </c>
      <c r="P18" s="39" t="n">
        <f aca="false">IF($B18="","",IFERROR(O18/N_SISWA,0))</f>
        <v>0.67741935483871</v>
      </c>
      <c r="Q18" s="40" t="n">
        <f aca="false">IF($B18="","",COUNTIFS(JAWABAN!$Q$6:$Q$55,"D",SKOR!$AW$6:$AW$55,"&lt;="&amp;N_GRUP))</f>
        <v>6</v>
      </c>
      <c r="R18" s="40" t="n">
        <f aca="false">IF($B18="","",COUNTIFS(JAWABAN!$Q$6:$Q$55,"D",SKOR!$AW$6:$AW$55,"&gt;"&amp;(N_SISWA-N_GRUP)))</f>
        <v>7</v>
      </c>
      <c r="S18" s="16" t="n">
        <f aca="false">IF($B18="","",N_SISWA-(C18+G18+K18+O18))</f>
        <v>2</v>
      </c>
      <c r="T18" s="16" t="n">
        <f aca="false">IF($B18="","",($B18&lt;&gt;"A")*(D18&gt;=PERSEN_PENGECOH)+($B18&lt;&gt;"B")*(H18&gt;=PERSEN_PENGECOH)+($B18&lt;&gt;"C")*(L18&gt;=PERSEN_PENGECOH)+($B18&lt;&gt;"D")*(P18&gt;=PERSEN_PENGECOH))</f>
        <v>3</v>
      </c>
      <c r="U18" s="16" t="str">
        <f aca="false">IF($B18="","",IF(T18=3,"-",TRIM(IF(AND($B18&lt;&gt;"A",D18&lt;PERSEN_PENGECOH),"A ","")&amp;IF(AND($B18&lt;&gt;"B",H18&lt;PERSEN_PENGECOH),"B ","")&amp;IF(AND($B18&lt;&gt;"C",L18&lt;PERSEN_PENGECOH),"C ","")&amp;IF(AND($B18&lt;&gt;"D",P18&lt;PERSEN_PENGECOH),"D ",""))))</f>
        <v>-</v>
      </c>
    </row>
    <row r="19" customFormat="false" ht="15" hidden="false" customHeight="true" outlineLevel="0" collapsed="false">
      <c r="A19" s="16" t="n">
        <v>14</v>
      </c>
      <c r="B19" s="16" t="str">
        <f aca="false">ANALISIS!B19</f>
        <v>A</v>
      </c>
      <c r="C19" s="16" t="n">
        <f aca="false">IF($B19="","",COUNTIFS(JAWABAN!$R$6:$R$55,"A",SKOR!$AS$6:$AS$55,"&gt;=0"))</f>
        <v>18</v>
      </c>
      <c r="D19" s="39" t="n">
        <f aca="false">IF($B19="","",IFERROR(C19/N_SISWA,0))</f>
        <v>0.580645161290323</v>
      </c>
      <c r="E19" s="16" t="n">
        <f aca="false">IF($B19="","",COUNTIFS(JAWABAN!$R$6:$R$55,"A",SKOR!$AW$6:$AW$55,"&lt;="&amp;N_GRUP))</f>
        <v>6</v>
      </c>
      <c r="F19" s="16" t="n">
        <f aca="false">IF($B19="","",COUNTIFS(JAWABAN!$R$6:$R$55,"A",SKOR!$AW$6:$AW$55,"&gt;"&amp;(N_SISWA-N_GRUP)))</f>
        <v>3</v>
      </c>
      <c r="G19" s="16" t="n">
        <f aca="false">IF($B19="","",COUNTIFS(JAWABAN!$R$6:$R$55,"B",SKOR!$AS$6:$AS$55,"&gt;=0"))</f>
        <v>4</v>
      </c>
      <c r="H19" s="39" t="n">
        <f aca="false">IF($B19="","",IFERROR(G19/N_SISWA,0))</f>
        <v>0.129032258064516</v>
      </c>
      <c r="I19" s="16" t="n">
        <f aca="false">IF($B19="","",COUNTIFS(JAWABAN!$R$6:$R$55,"B",SKOR!$AW$6:$AW$55,"&lt;="&amp;N_GRUP))</f>
        <v>2</v>
      </c>
      <c r="J19" s="16" t="n">
        <f aca="false">IF($B19="","",COUNTIFS(JAWABAN!$R$6:$R$55,"B",SKOR!$AW$6:$AW$55,"&gt;"&amp;(N_SISWA-N_GRUP)))</f>
        <v>1</v>
      </c>
      <c r="K19" s="40" t="n">
        <f aca="false">IF($B19="","",COUNTIFS(JAWABAN!$R$6:$R$55,"C",SKOR!$AS$6:$AS$55,"&gt;=0"))</f>
        <v>4</v>
      </c>
      <c r="L19" s="39" t="n">
        <f aca="false">IF($B19="","",IFERROR(K19/N_SISWA,0))</f>
        <v>0.129032258064516</v>
      </c>
      <c r="M19" s="40" t="n">
        <f aca="false">IF($B19="","",COUNTIFS(JAWABAN!$R$6:$R$55,"C",SKOR!$AW$6:$AW$55,"&lt;="&amp;N_GRUP))</f>
        <v>0</v>
      </c>
      <c r="N19" s="40" t="n">
        <f aca="false">IF($B19="","",COUNTIFS(JAWABAN!$R$6:$R$55,"C",SKOR!$AW$6:$AW$55,"&gt;"&amp;(N_SISWA-N_GRUP)))</f>
        <v>1</v>
      </c>
      <c r="O19" s="40" t="n">
        <f aca="false">IF($B19="","",COUNTIFS(JAWABAN!$R$6:$R$55,"D",SKOR!$AS$6:$AS$55,"&gt;=0"))</f>
        <v>5</v>
      </c>
      <c r="P19" s="39" t="n">
        <f aca="false">IF($B19="","",IFERROR(O19/N_SISWA,0))</f>
        <v>0.161290322580645</v>
      </c>
      <c r="Q19" s="40" t="n">
        <f aca="false">IF($B19="","",COUNTIFS(JAWABAN!$R$6:$R$55,"D",SKOR!$AW$6:$AW$55,"&lt;="&amp;N_GRUP))</f>
        <v>0</v>
      </c>
      <c r="R19" s="40" t="n">
        <f aca="false">IF($B19="","",COUNTIFS(JAWABAN!$R$6:$R$55,"D",SKOR!$AW$6:$AW$55,"&gt;"&amp;(N_SISWA-N_GRUP)))</f>
        <v>3</v>
      </c>
      <c r="S19" s="16" t="n">
        <f aca="false">IF($B19="","",N_SISWA-(C19+G19+K19+O19))</f>
        <v>0</v>
      </c>
      <c r="T19" s="16" t="n">
        <f aca="false">IF($B19="","",($B19&lt;&gt;"A")*(D19&gt;=PERSEN_PENGECOH)+($B19&lt;&gt;"B")*(H19&gt;=PERSEN_PENGECOH)+($B19&lt;&gt;"C")*(L19&gt;=PERSEN_PENGECOH)+($B19&lt;&gt;"D")*(P19&gt;=PERSEN_PENGECOH))</f>
        <v>3</v>
      </c>
      <c r="U19" s="16" t="str">
        <f aca="false">IF($B19="","",IF(T19=3,"-",TRIM(IF(AND($B19&lt;&gt;"A",D19&lt;PERSEN_PENGECOH),"A ","")&amp;IF(AND($B19&lt;&gt;"B",H19&lt;PERSEN_PENGECOH),"B ","")&amp;IF(AND($B19&lt;&gt;"C",L19&lt;PERSEN_PENGECOH),"C ","")&amp;IF(AND($B19&lt;&gt;"D",P19&lt;PERSEN_PENGECOH),"D ",""))))</f>
        <v>-</v>
      </c>
    </row>
    <row r="20" customFormat="false" ht="15" hidden="false" customHeight="true" outlineLevel="0" collapsed="false">
      <c r="A20" s="16" t="n">
        <v>15</v>
      </c>
      <c r="B20" s="16" t="str">
        <f aca="false">ANALISIS!B20</f>
        <v>B</v>
      </c>
      <c r="C20" s="16" t="n">
        <f aca="false">IF($B20="","",COUNTIFS(JAWABAN!$S$6:$S$55,"A",SKOR!$AS$6:$AS$55,"&gt;=0"))</f>
        <v>4</v>
      </c>
      <c r="D20" s="39" t="n">
        <f aca="false">IF($B20="","",IFERROR(C20/N_SISWA,0))</f>
        <v>0.129032258064516</v>
      </c>
      <c r="E20" s="16" t="n">
        <f aca="false">IF($B20="","",COUNTIFS(JAWABAN!$S$6:$S$55,"A",SKOR!$AW$6:$AW$55,"&lt;="&amp;N_GRUP))</f>
        <v>0</v>
      </c>
      <c r="F20" s="16" t="n">
        <f aca="false">IF($B20="","",COUNTIFS(JAWABAN!$S$6:$S$55,"A",SKOR!$AW$6:$AW$55,"&gt;"&amp;(N_SISWA-N_GRUP)))</f>
        <v>4</v>
      </c>
      <c r="G20" s="16" t="n">
        <f aca="false">IF($B20="","",COUNTIFS(JAWABAN!$S$6:$S$55,"B",SKOR!$AS$6:$AS$55,"&gt;=0"))</f>
        <v>16</v>
      </c>
      <c r="H20" s="39" t="n">
        <f aca="false">IF($B20="","",IFERROR(G20/N_SISWA,0))</f>
        <v>0.516129032258065</v>
      </c>
      <c r="I20" s="16" t="n">
        <f aca="false">IF($B20="","",COUNTIFS(JAWABAN!$S$6:$S$55,"B",SKOR!$AW$6:$AW$55,"&lt;="&amp;N_GRUP))</f>
        <v>8</v>
      </c>
      <c r="J20" s="16" t="n">
        <f aca="false">IF($B20="","",COUNTIFS(JAWABAN!$S$6:$S$55,"B",SKOR!$AW$6:$AW$55,"&gt;"&amp;(N_SISWA-N_GRUP)))</f>
        <v>1</v>
      </c>
      <c r="K20" s="40" t="n">
        <f aca="false">IF($B20="","",COUNTIFS(JAWABAN!$S$6:$S$55,"C",SKOR!$AS$6:$AS$55,"&gt;=0"))</f>
        <v>4</v>
      </c>
      <c r="L20" s="39" t="n">
        <f aca="false">IF($B20="","",IFERROR(K20/N_SISWA,0))</f>
        <v>0.129032258064516</v>
      </c>
      <c r="M20" s="40" t="n">
        <f aca="false">IF($B20="","",COUNTIFS(JAWABAN!$S$6:$S$55,"C",SKOR!$AW$6:$AW$55,"&lt;="&amp;N_GRUP))</f>
        <v>0</v>
      </c>
      <c r="N20" s="40" t="n">
        <f aca="false">IF($B20="","",COUNTIFS(JAWABAN!$S$6:$S$55,"C",SKOR!$AW$6:$AW$55,"&gt;"&amp;(N_SISWA-N_GRUP)))</f>
        <v>1</v>
      </c>
      <c r="O20" s="40" t="n">
        <f aca="false">IF($B20="","",COUNTIFS(JAWABAN!$S$6:$S$55,"D",SKOR!$AS$6:$AS$55,"&gt;=0"))</f>
        <v>6</v>
      </c>
      <c r="P20" s="39" t="n">
        <f aca="false">IF($B20="","",IFERROR(O20/N_SISWA,0))</f>
        <v>0.193548387096774</v>
      </c>
      <c r="Q20" s="40" t="n">
        <f aca="false">IF($B20="","",COUNTIFS(JAWABAN!$S$6:$S$55,"D",SKOR!$AW$6:$AW$55,"&lt;="&amp;N_GRUP))</f>
        <v>0</v>
      </c>
      <c r="R20" s="40" t="n">
        <f aca="false">IF($B20="","",COUNTIFS(JAWABAN!$S$6:$S$55,"D",SKOR!$AW$6:$AW$55,"&gt;"&amp;(N_SISWA-N_GRUP)))</f>
        <v>2</v>
      </c>
      <c r="S20" s="16" t="n">
        <f aca="false">IF($B20="","",N_SISWA-(C20+G20+K20+O20))</f>
        <v>1</v>
      </c>
      <c r="T20" s="16" t="n">
        <f aca="false">IF($B20="","",($B20&lt;&gt;"A")*(D20&gt;=PERSEN_PENGECOH)+($B20&lt;&gt;"B")*(H20&gt;=PERSEN_PENGECOH)+($B20&lt;&gt;"C")*(L20&gt;=PERSEN_PENGECOH)+($B20&lt;&gt;"D")*(P20&gt;=PERSEN_PENGECOH))</f>
        <v>3</v>
      </c>
      <c r="U20" s="16" t="str">
        <f aca="false">IF($B20="","",IF(T20=3,"-",TRIM(IF(AND($B20&lt;&gt;"A",D20&lt;PERSEN_PENGECOH),"A ","")&amp;IF(AND($B20&lt;&gt;"B",H20&lt;PERSEN_PENGECOH),"B ","")&amp;IF(AND($B20&lt;&gt;"C",L20&lt;PERSEN_PENGECOH),"C ","")&amp;IF(AND($B20&lt;&gt;"D",P20&lt;PERSEN_PENGECOH),"D ",""))))</f>
        <v>-</v>
      </c>
    </row>
    <row r="21" customFormat="false" ht="15" hidden="false" customHeight="true" outlineLevel="0" collapsed="false">
      <c r="A21" s="16" t="n">
        <v>16</v>
      </c>
      <c r="B21" s="16" t="str">
        <f aca="false">ANALISIS!B21</f>
        <v>C</v>
      </c>
      <c r="C21" s="16" t="n">
        <f aca="false">IF($B21="","",COUNTIFS(JAWABAN!$T$6:$T$55,"A",SKOR!$AS$6:$AS$55,"&gt;=0"))</f>
        <v>3</v>
      </c>
      <c r="D21" s="39" t="n">
        <f aca="false">IF($B21="","",IFERROR(C21/N_SISWA,0))</f>
        <v>0.0967741935483871</v>
      </c>
      <c r="E21" s="16" t="n">
        <f aca="false">IF($B21="","",COUNTIFS(JAWABAN!$T$6:$T$55,"A",SKOR!$AW$6:$AW$55,"&lt;="&amp;N_GRUP))</f>
        <v>0</v>
      </c>
      <c r="F21" s="16" t="n">
        <f aca="false">IF($B21="","",COUNTIFS(JAWABAN!$T$6:$T$55,"A",SKOR!$AW$6:$AW$55,"&gt;"&amp;(N_SISWA-N_GRUP)))</f>
        <v>1</v>
      </c>
      <c r="G21" s="16" t="n">
        <f aca="false">IF($B21="","",COUNTIFS(JAWABAN!$T$6:$T$55,"B",SKOR!$AS$6:$AS$55,"&gt;=0"))</f>
        <v>5</v>
      </c>
      <c r="H21" s="39" t="n">
        <f aca="false">IF($B21="","",IFERROR(G21/N_SISWA,0))</f>
        <v>0.161290322580645</v>
      </c>
      <c r="I21" s="16" t="n">
        <f aca="false">IF($B21="","",COUNTIFS(JAWABAN!$T$6:$T$55,"B",SKOR!$AW$6:$AW$55,"&lt;="&amp;N_GRUP))</f>
        <v>0</v>
      </c>
      <c r="J21" s="16" t="n">
        <f aca="false">IF($B21="","",COUNTIFS(JAWABAN!$T$6:$T$55,"B",SKOR!$AW$6:$AW$55,"&gt;"&amp;(N_SISWA-N_GRUP)))</f>
        <v>3</v>
      </c>
      <c r="K21" s="40" t="n">
        <f aca="false">IF($B21="","",COUNTIFS(JAWABAN!$T$6:$T$55,"C",SKOR!$AS$6:$AS$55,"&gt;=0"))</f>
        <v>17</v>
      </c>
      <c r="L21" s="39" t="n">
        <f aca="false">IF($B21="","",IFERROR(K21/N_SISWA,0))</f>
        <v>0.548387096774194</v>
      </c>
      <c r="M21" s="40" t="n">
        <f aca="false">IF($B21="","",COUNTIFS(JAWABAN!$T$6:$T$55,"C",SKOR!$AW$6:$AW$55,"&lt;="&amp;N_GRUP))</f>
        <v>7</v>
      </c>
      <c r="N21" s="40" t="n">
        <f aca="false">IF($B21="","",COUNTIFS(JAWABAN!$T$6:$T$55,"C",SKOR!$AW$6:$AW$55,"&gt;"&amp;(N_SISWA-N_GRUP)))</f>
        <v>3</v>
      </c>
      <c r="O21" s="40" t="n">
        <f aca="false">IF($B21="","",COUNTIFS(JAWABAN!$T$6:$T$55,"D",SKOR!$AS$6:$AS$55,"&gt;=0"))</f>
        <v>5</v>
      </c>
      <c r="P21" s="39" t="n">
        <f aca="false">IF($B21="","",IFERROR(O21/N_SISWA,0))</f>
        <v>0.161290322580645</v>
      </c>
      <c r="Q21" s="40" t="n">
        <f aca="false">IF($B21="","",COUNTIFS(JAWABAN!$T$6:$T$55,"D",SKOR!$AW$6:$AW$55,"&lt;="&amp;N_GRUP))</f>
        <v>1</v>
      </c>
      <c r="R21" s="40" t="n">
        <f aca="false">IF($B21="","",COUNTIFS(JAWABAN!$T$6:$T$55,"D",SKOR!$AW$6:$AW$55,"&gt;"&amp;(N_SISWA-N_GRUP)))</f>
        <v>1</v>
      </c>
      <c r="S21" s="16" t="n">
        <f aca="false">IF($B21="","",N_SISWA-(C21+G21+K21+O21))</f>
        <v>1</v>
      </c>
      <c r="T21" s="16" t="n">
        <f aca="false">IF($B21="","",($B21&lt;&gt;"A")*(D21&gt;=PERSEN_PENGECOH)+($B21&lt;&gt;"B")*(H21&gt;=PERSEN_PENGECOH)+($B21&lt;&gt;"C")*(L21&gt;=PERSEN_PENGECOH)+($B21&lt;&gt;"D")*(P21&gt;=PERSEN_PENGECOH))</f>
        <v>3</v>
      </c>
      <c r="U21" s="16" t="str">
        <f aca="false">IF($B21="","",IF(T21=3,"-",TRIM(IF(AND($B21&lt;&gt;"A",D21&lt;PERSEN_PENGECOH),"A ","")&amp;IF(AND($B21&lt;&gt;"B",H21&lt;PERSEN_PENGECOH),"B ","")&amp;IF(AND($B21&lt;&gt;"C",L21&lt;PERSEN_PENGECOH),"C ","")&amp;IF(AND($B21&lt;&gt;"D",P21&lt;PERSEN_PENGECOH),"D ",""))))</f>
        <v>-</v>
      </c>
    </row>
    <row r="22" customFormat="false" ht="15" hidden="false" customHeight="true" outlineLevel="0" collapsed="false">
      <c r="A22" s="16" t="n">
        <v>17</v>
      </c>
      <c r="B22" s="16" t="str">
        <f aca="false">ANALISIS!B22</f>
        <v>C</v>
      </c>
      <c r="C22" s="16" t="n">
        <f aca="false">IF($B22="","",COUNTIFS(JAWABAN!$U$6:$U$55,"A",SKOR!$AS$6:$AS$55,"&gt;=0"))</f>
        <v>3</v>
      </c>
      <c r="D22" s="39" t="n">
        <f aca="false">IF($B22="","",IFERROR(C22/N_SISWA,0))</f>
        <v>0.0967741935483871</v>
      </c>
      <c r="E22" s="16" t="n">
        <f aca="false">IF($B22="","",COUNTIFS(JAWABAN!$U$6:$U$55,"A",SKOR!$AW$6:$AW$55,"&lt;="&amp;N_GRUP))</f>
        <v>1</v>
      </c>
      <c r="F22" s="16" t="n">
        <f aca="false">IF($B22="","",COUNTIFS(JAWABAN!$U$6:$U$55,"A",SKOR!$AW$6:$AW$55,"&gt;"&amp;(N_SISWA-N_GRUP)))</f>
        <v>0</v>
      </c>
      <c r="G22" s="16" t="n">
        <f aca="false">IF($B22="","",COUNTIFS(JAWABAN!$U$6:$U$55,"B",SKOR!$AS$6:$AS$55,"&gt;=0"))</f>
        <v>7</v>
      </c>
      <c r="H22" s="39" t="n">
        <f aca="false">IF($B22="","",IFERROR(G22/N_SISWA,0))</f>
        <v>0.225806451612903</v>
      </c>
      <c r="I22" s="16" t="n">
        <f aca="false">IF($B22="","",COUNTIFS(JAWABAN!$U$6:$U$55,"B",SKOR!$AW$6:$AW$55,"&lt;="&amp;N_GRUP))</f>
        <v>1</v>
      </c>
      <c r="J22" s="16" t="n">
        <f aca="false">IF($B22="","",COUNTIFS(JAWABAN!$U$6:$U$55,"B",SKOR!$AW$6:$AW$55,"&gt;"&amp;(N_SISWA-N_GRUP)))</f>
        <v>2</v>
      </c>
      <c r="K22" s="40" t="n">
        <f aca="false">IF($B22="","",COUNTIFS(JAWABAN!$U$6:$U$55,"C",SKOR!$AS$6:$AS$55,"&gt;=0"))</f>
        <v>14</v>
      </c>
      <c r="L22" s="39" t="n">
        <f aca="false">IF($B22="","",IFERROR(K22/N_SISWA,0))</f>
        <v>0.451612903225806</v>
      </c>
      <c r="M22" s="40" t="n">
        <f aca="false">IF($B22="","",COUNTIFS(JAWABAN!$U$6:$U$55,"C",SKOR!$AW$6:$AW$55,"&lt;="&amp;N_GRUP))</f>
        <v>4</v>
      </c>
      <c r="N22" s="40" t="n">
        <f aca="false">IF($B22="","",COUNTIFS(JAWABAN!$U$6:$U$55,"C",SKOR!$AW$6:$AW$55,"&gt;"&amp;(N_SISWA-N_GRUP)))</f>
        <v>4</v>
      </c>
      <c r="O22" s="40" t="n">
        <f aca="false">IF($B22="","",COUNTIFS(JAWABAN!$U$6:$U$55,"D",SKOR!$AS$6:$AS$55,"&gt;=0"))</f>
        <v>6</v>
      </c>
      <c r="P22" s="39" t="n">
        <f aca="false">IF($B22="","",IFERROR(O22/N_SISWA,0))</f>
        <v>0.193548387096774</v>
      </c>
      <c r="Q22" s="40" t="n">
        <f aca="false">IF($B22="","",COUNTIFS(JAWABAN!$U$6:$U$55,"D",SKOR!$AW$6:$AW$55,"&lt;="&amp;N_GRUP))</f>
        <v>2</v>
      </c>
      <c r="R22" s="40" t="n">
        <f aca="false">IF($B22="","",COUNTIFS(JAWABAN!$U$6:$U$55,"D",SKOR!$AW$6:$AW$55,"&gt;"&amp;(N_SISWA-N_GRUP)))</f>
        <v>2</v>
      </c>
      <c r="S22" s="16" t="n">
        <f aca="false">IF($B22="","",N_SISWA-(C22+G22+K22+O22))</f>
        <v>1</v>
      </c>
      <c r="T22" s="16" t="n">
        <f aca="false">IF($B22="","",($B22&lt;&gt;"A")*(D22&gt;=PERSEN_PENGECOH)+($B22&lt;&gt;"B")*(H22&gt;=PERSEN_PENGECOH)+($B22&lt;&gt;"C")*(L22&gt;=PERSEN_PENGECOH)+($B22&lt;&gt;"D")*(P22&gt;=PERSEN_PENGECOH))</f>
        <v>3</v>
      </c>
      <c r="U22" s="16" t="str">
        <f aca="false">IF($B22="","",IF(T22=3,"-",TRIM(IF(AND($B22&lt;&gt;"A",D22&lt;PERSEN_PENGECOH),"A ","")&amp;IF(AND($B22&lt;&gt;"B",H22&lt;PERSEN_PENGECOH),"B ","")&amp;IF(AND($B22&lt;&gt;"C",L22&lt;PERSEN_PENGECOH),"C ","")&amp;IF(AND($B22&lt;&gt;"D",P22&lt;PERSEN_PENGECOH),"D ",""))))</f>
        <v>-</v>
      </c>
    </row>
    <row r="23" customFormat="false" ht="15" hidden="false" customHeight="true" outlineLevel="0" collapsed="false">
      <c r="A23" s="16" t="n">
        <v>18</v>
      </c>
      <c r="B23" s="16" t="str">
        <f aca="false">ANALISIS!B23</f>
        <v>A</v>
      </c>
      <c r="C23" s="16" t="n">
        <f aca="false">IF($B23="","",COUNTIFS(JAWABAN!$V$6:$V$55,"A",SKOR!$AS$6:$AS$55,"&gt;=0"))</f>
        <v>15</v>
      </c>
      <c r="D23" s="39" t="n">
        <f aca="false">IF($B23="","",IFERROR(C23/N_SISWA,0))</f>
        <v>0.483870967741936</v>
      </c>
      <c r="E23" s="16" t="n">
        <f aca="false">IF($B23="","",COUNTIFS(JAWABAN!$V$6:$V$55,"A",SKOR!$AW$6:$AW$55,"&lt;="&amp;N_GRUP))</f>
        <v>7</v>
      </c>
      <c r="F23" s="16" t="n">
        <f aca="false">IF($B23="","",COUNTIFS(JAWABAN!$V$6:$V$55,"A",SKOR!$AW$6:$AW$55,"&gt;"&amp;(N_SISWA-N_GRUP)))</f>
        <v>3</v>
      </c>
      <c r="G23" s="16" t="n">
        <f aca="false">IF($B23="","",COUNTIFS(JAWABAN!$V$6:$V$55,"B",SKOR!$AS$6:$AS$55,"&gt;=0"))</f>
        <v>3</v>
      </c>
      <c r="H23" s="39" t="n">
        <f aca="false">IF($B23="","",IFERROR(G23/N_SISWA,0))</f>
        <v>0.0967741935483871</v>
      </c>
      <c r="I23" s="16" t="n">
        <f aca="false">IF($B23="","",COUNTIFS(JAWABAN!$V$6:$V$55,"B",SKOR!$AW$6:$AW$55,"&lt;="&amp;N_GRUP))</f>
        <v>0</v>
      </c>
      <c r="J23" s="16" t="n">
        <f aca="false">IF($B23="","",COUNTIFS(JAWABAN!$V$6:$V$55,"B",SKOR!$AW$6:$AW$55,"&gt;"&amp;(N_SISWA-N_GRUP)))</f>
        <v>1</v>
      </c>
      <c r="K23" s="40" t="n">
        <f aca="false">IF($B23="","",COUNTIFS(JAWABAN!$V$6:$V$55,"C",SKOR!$AS$6:$AS$55,"&gt;=0"))</f>
        <v>5</v>
      </c>
      <c r="L23" s="39" t="n">
        <f aca="false">IF($B23="","",IFERROR(K23/N_SISWA,0))</f>
        <v>0.161290322580645</v>
      </c>
      <c r="M23" s="40" t="n">
        <f aca="false">IF($B23="","",COUNTIFS(JAWABAN!$V$6:$V$55,"C",SKOR!$AW$6:$AW$55,"&lt;="&amp;N_GRUP))</f>
        <v>0</v>
      </c>
      <c r="N23" s="40" t="n">
        <f aca="false">IF($B23="","",COUNTIFS(JAWABAN!$V$6:$V$55,"C",SKOR!$AW$6:$AW$55,"&gt;"&amp;(N_SISWA-N_GRUP)))</f>
        <v>1</v>
      </c>
      <c r="O23" s="40" t="n">
        <f aca="false">IF($B23="","",COUNTIFS(JAWABAN!$V$6:$V$55,"D",SKOR!$AS$6:$AS$55,"&gt;=0"))</f>
        <v>6</v>
      </c>
      <c r="P23" s="39" t="n">
        <f aca="false">IF($B23="","",IFERROR(O23/N_SISWA,0))</f>
        <v>0.193548387096774</v>
      </c>
      <c r="Q23" s="40" t="n">
        <f aca="false">IF($B23="","",COUNTIFS(JAWABAN!$V$6:$V$55,"D",SKOR!$AW$6:$AW$55,"&lt;="&amp;N_GRUP))</f>
        <v>1</v>
      </c>
      <c r="R23" s="40" t="n">
        <f aca="false">IF($B23="","",COUNTIFS(JAWABAN!$V$6:$V$55,"D",SKOR!$AW$6:$AW$55,"&gt;"&amp;(N_SISWA-N_GRUP)))</f>
        <v>2</v>
      </c>
      <c r="S23" s="16" t="n">
        <f aca="false">IF($B23="","",N_SISWA-(C23+G23+K23+O23))</f>
        <v>2</v>
      </c>
      <c r="T23" s="16" t="n">
        <f aca="false">IF($B23="","",($B23&lt;&gt;"A")*(D23&gt;=PERSEN_PENGECOH)+($B23&lt;&gt;"B")*(H23&gt;=PERSEN_PENGECOH)+($B23&lt;&gt;"C")*(L23&gt;=PERSEN_PENGECOH)+($B23&lt;&gt;"D")*(P23&gt;=PERSEN_PENGECOH))</f>
        <v>3</v>
      </c>
      <c r="U23" s="16" t="str">
        <f aca="false">IF($B23="","",IF(T23=3,"-",TRIM(IF(AND($B23&lt;&gt;"A",D23&lt;PERSEN_PENGECOH),"A ","")&amp;IF(AND($B23&lt;&gt;"B",H23&lt;PERSEN_PENGECOH),"B ","")&amp;IF(AND($B23&lt;&gt;"C",L23&lt;PERSEN_PENGECOH),"C ","")&amp;IF(AND($B23&lt;&gt;"D",P23&lt;PERSEN_PENGECOH),"D ",""))))</f>
        <v>-</v>
      </c>
    </row>
    <row r="24" customFormat="false" ht="15" hidden="false" customHeight="true" outlineLevel="0" collapsed="false">
      <c r="A24" s="16" t="n">
        <v>19</v>
      </c>
      <c r="B24" s="16" t="str">
        <f aca="false">ANALISIS!B24</f>
        <v>C</v>
      </c>
      <c r="C24" s="16" t="n">
        <f aca="false">IF($B24="","",COUNTIFS(JAWABAN!$W$6:$W$55,"A",SKOR!$AS$6:$AS$55,"&gt;=0"))</f>
        <v>3</v>
      </c>
      <c r="D24" s="39" t="n">
        <f aca="false">IF($B24="","",IFERROR(C24/N_SISWA,0))</f>
        <v>0.0967741935483871</v>
      </c>
      <c r="E24" s="16" t="n">
        <f aca="false">IF($B24="","",COUNTIFS(JAWABAN!$W$6:$W$55,"A",SKOR!$AW$6:$AW$55,"&lt;="&amp;N_GRUP))</f>
        <v>0</v>
      </c>
      <c r="F24" s="16" t="n">
        <f aca="false">IF($B24="","",COUNTIFS(JAWABAN!$W$6:$W$55,"A",SKOR!$AW$6:$AW$55,"&gt;"&amp;(N_SISWA-N_GRUP)))</f>
        <v>1</v>
      </c>
      <c r="G24" s="16" t="n">
        <f aca="false">IF($B24="","",COUNTIFS(JAWABAN!$W$6:$W$55,"B",SKOR!$AS$6:$AS$55,"&gt;=0"))</f>
        <v>3</v>
      </c>
      <c r="H24" s="39" t="n">
        <f aca="false">IF($B24="","",IFERROR(G24/N_SISWA,0))</f>
        <v>0.0967741935483871</v>
      </c>
      <c r="I24" s="16" t="n">
        <f aca="false">IF($B24="","",COUNTIFS(JAWABAN!$W$6:$W$55,"B",SKOR!$AW$6:$AW$55,"&lt;="&amp;N_GRUP))</f>
        <v>0</v>
      </c>
      <c r="J24" s="16" t="n">
        <f aca="false">IF($B24="","",COUNTIFS(JAWABAN!$W$6:$W$55,"B",SKOR!$AW$6:$AW$55,"&gt;"&amp;(N_SISWA-N_GRUP)))</f>
        <v>1</v>
      </c>
      <c r="K24" s="40" t="n">
        <f aca="false">IF($B24="","",COUNTIFS(JAWABAN!$W$6:$W$55,"C",SKOR!$AS$6:$AS$55,"&gt;=0"))</f>
        <v>18</v>
      </c>
      <c r="L24" s="39" t="n">
        <f aca="false">IF($B24="","",IFERROR(K24/N_SISWA,0))</f>
        <v>0.580645161290323</v>
      </c>
      <c r="M24" s="40" t="n">
        <f aca="false">IF($B24="","",COUNTIFS(JAWABAN!$W$6:$W$55,"C",SKOR!$AW$6:$AW$55,"&lt;="&amp;N_GRUP))</f>
        <v>6</v>
      </c>
      <c r="N24" s="40" t="n">
        <f aca="false">IF($B24="","",COUNTIFS(JAWABAN!$W$6:$W$55,"C",SKOR!$AW$6:$AW$55,"&gt;"&amp;(N_SISWA-N_GRUP)))</f>
        <v>5</v>
      </c>
      <c r="O24" s="40" t="n">
        <f aca="false">IF($B24="","",COUNTIFS(JAWABAN!$W$6:$W$55,"D",SKOR!$AS$6:$AS$55,"&gt;=0"))</f>
        <v>6</v>
      </c>
      <c r="P24" s="39" t="n">
        <f aca="false">IF($B24="","",IFERROR(O24/N_SISWA,0))</f>
        <v>0.193548387096774</v>
      </c>
      <c r="Q24" s="40" t="n">
        <f aca="false">IF($B24="","",COUNTIFS(JAWABAN!$W$6:$W$55,"D",SKOR!$AW$6:$AW$55,"&lt;="&amp;N_GRUP))</f>
        <v>2</v>
      </c>
      <c r="R24" s="40" t="n">
        <f aca="false">IF($B24="","",COUNTIFS(JAWABAN!$W$6:$W$55,"D",SKOR!$AW$6:$AW$55,"&gt;"&amp;(N_SISWA-N_GRUP)))</f>
        <v>1</v>
      </c>
      <c r="S24" s="16" t="n">
        <f aca="false">IF($B24="","",N_SISWA-(C24+G24+K24+O24))</f>
        <v>1</v>
      </c>
      <c r="T24" s="16" t="n">
        <f aca="false">IF($B24="","",($B24&lt;&gt;"A")*(D24&gt;=PERSEN_PENGECOH)+($B24&lt;&gt;"B")*(H24&gt;=PERSEN_PENGECOH)+($B24&lt;&gt;"C")*(L24&gt;=PERSEN_PENGECOH)+($B24&lt;&gt;"D")*(P24&gt;=PERSEN_PENGECOH))</f>
        <v>3</v>
      </c>
      <c r="U24" s="16" t="str">
        <f aca="false">IF($B24="","",IF(T24=3,"-",TRIM(IF(AND($B24&lt;&gt;"A",D24&lt;PERSEN_PENGECOH),"A ","")&amp;IF(AND($B24&lt;&gt;"B",H24&lt;PERSEN_PENGECOH),"B ","")&amp;IF(AND($B24&lt;&gt;"C",L24&lt;PERSEN_PENGECOH),"C ","")&amp;IF(AND($B24&lt;&gt;"D",P24&lt;PERSEN_PENGECOH),"D ",""))))</f>
        <v>-</v>
      </c>
    </row>
    <row r="25" customFormat="false" ht="15" hidden="false" customHeight="true" outlineLevel="0" collapsed="false">
      <c r="A25" s="16" t="n">
        <v>20</v>
      </c>
      <c r="B25" s="16" t="str">
        <f aca="false">ANALISIS!B25</f>
        <v>B</v>
      </c>
      <c r="C25" s="16" t="n">
        <f aca="false">IF($B25="","",COUNTIFS(JAWABAN!$X$6:$X$55,"A",SKOR!$AS$6:$AS$55,"&gt;=0"))</f>
        <v>4</v>
      </c>
      <c r="D25" s="39" t="n">
        <f aca="false">IF($B25="","",IFERROR(C25/N_SISWA,0))</f>
        <v>0.129032258064516</v>
      </c>
      <c r="E25" s="16" t="n">
        <f aca="false">IF($B25="","",COUNTIFS(JAWABAN!$X$6:$X$55,"A",SKOR!$AW$6:$AW$55,"&lt;="&amp;N_GRUP))</f>
        <v>0</v>
      </c>
      <c r="F25" s="16" t="n">
        <f aca="false">IF($B25="","",COUNTIFS(JAWABAN!$X$6:$X$55,"A",SKOR!$AW$6:$AW$55,"&gt;"&amp;(N_SISWA-N_GRUP)))</f>
        <v>0</v>
      </c>
      <c r="G25" s="16" t="n">
        <f aca="false">IF($B25="","",COUNTIFS(JAWABAN!$X$6:$X$55,"B",SKOR!$AS$6:$AS$55,"&gt;=0"))</f>
        <v>22</v>
      </c>
      <c r="H25" s="39" t="n">
        <f aca="false">IF($B25="","",IFERROR(G25/N_SISWA,0))</f>
        <v>0.709677419354839</v>
      </c>
      <c r="I25" s="16" t="n">
        <f aca="false">IF($B25="","",COUNTIFS(JAWABAN!$X$6:$X$55,"B",SKOR!$AW$6:$AW$55,"&lt;="&amp;N_GRUP))</f>
        <v>8</v>
      </c>
      <c r="J25" s="16" t="n">
        <f aca="false">IF($B25="","",COUNTIFS(JAWABAN!$X$6:$X$55,"B",SKOR!$AW$6:$AW$55,"&gt;"&amp;(N_SISWA-N_GRUP)))</f>
        <v>4</v>
      </c>
      <c r="K25" s="40" t="n">
        <f aca="false">IF($B25="","",COUNTIFS(JAWABAN!$X$6:$X$55,"C",SKOR!$AS$6:$AS$55,"&gt;=0"))</f>
        <v>2</v>
      </c>
      <c r="L25" s="39" t="n">
        <f aca="false">IF($B25="","",IFERROR(K25/N_SISWA,0))</f>
        <v>0.0645161290322581</v>
      </c>
      <c r="M25" s="40" t="n">
        <f aca="false">IF($B25="","",COUNTIFS(JAWABAN!$X$6:$X$55,"C",SKOR!$AW$6:$AW$55,"&lt;="&amp;N_GRUP))</f>
        <v>0</v>
      </c>
      <c r="N25" s="40" t="n">
        <f aca="false">IF($B25="","",COUNTIFS(JAWABAN!$X$6:$X$55,"C",SKOR!$AW$6:$AW$55,"&gt;"&amp;(N_SISWA-N_GRUP)))</f>
        <v>2</v>
      </c>
      <c r="O25" s="40" t="n">
        <f aca="false">IF($B25="","",COUNTIFS(JAWABAN!$X$6:$X$55,"D",SKOR!$AS$6:$AS$55,"&gt;=0"))</f>
        <v>3</v>
      </c>
      <c r="P25" s="39" t="n">
        <f aca="false">IF($B25="","",IFERROR(O25/N_SISWA,0))</f>
        <v>0.0967741935483871</v>
      </c>
      <c r="Q25" s="40" t="n">
        <f aca="false">IF($B25="","",COUNTIFS(JAWABAN!$X$6:$X$55,"D",SKOR!$AW$6:$AW$55,"&lt;="&amp;N_GRUP))</f>
        <v>0</v>
      </c>
      <c r="R25" s="40" t="n">
        <f aca="false">IF($B25="","",COUNTIFS(JAWABAN!$X$6:$X$55,"D",SKOR!$AW$6:$AW$55,"&gt;"&amp;(N_SISWA-N_GRUP)))</f>
        <v>2</v>
      </c>
      <c r="S25" s="16" t="n">
        <f aca="false">IF($B25="","",N_SISWA-(C25+G25+K25+O25))</f>
        <v>0</v>
      </c>
      <c r="T25" s="16" t="n">
        <f aca="false">IF($B25="","",($B25&lt;&gt;"A")*(D25&gt;=PERSEN_PENGECOH)+($B25&lt;&gt;"B")*(H25&gt;=PERSEN_PENGECOH)+($B25&lt;&gt;"C")*(L25&gt;=PERSEN_PENGECOH)+($B25&lt;&gt;"D")*(P25&gt;=PERSEN_PENGECOH))</f>
        <v>3</v>
      </c>
      <c r="U25" s="16" t="str">
        <f aca="false">IF($B25="","",IF(T25=3,"-",TRIM(IF(AND($B25&lt;&gt;"A",D25&lt;PERSEN_PENGECOH),"A ","")&amp;IF(AND($B25&lt;&gt;"B",H25&lt;PERSEN_PENGECOH),"B ","")&amp;IF(AND($B25&lt;&gt;"C",L25&lt;PERSEN_PENGECOH),"C ","")&amp;IF(AND($B25&lt;&gt;"D",P25&lt;PERSEN_PENGECOH),"D ",""))))</f>
        <v>-</v>
      </c>
    </row>
    <row r="26" customFormat="false" ht="15" hidden="false" customHeight="true" outlineLevel="0" collapsed="false">
      <c r="A26" s="16" t="n">
        <v>21</v>
      </c>
      <c r="B26" s="16" t="str">
        <f aca="false">ANALISIS!B26</f>
        <v>D</v>
      </c>
      <c r="C26" s="16" t="n">
        <f aca="false">IF($B26="","",COUNTIFS(JAWABAN!$Y$6:$Y$55,"A",SKOR!$AS$6:$AS$55,"&gt;=0"))</f>
        <v>3</v>
      </c>
      <c r="D26" s="39" t="n">
        <f aca="false">IF($B26="","",IFERROR(C26/N_SISWA,0))</f>
        <v>0.0967741935483871</v>
      </c>
      <c r="E26" s="16" t="n">
        <f aca="false">IF($B26="","",COUNTIFS(JAWABAN!$Y$6:$Y$55,"A",SKOR!$AW$6:$AW$55,"&lt;="&amp;N_GRUP))</f>
        <v>1</v>
      </c>
      <c r="F26" s="16" t="n">
        <f aca="false">IF($B26="","",COUNTIFS(JAWABAN!$Y$6:$Y$55,"A",SKOR!$AW$6:$AW$55,"&gt;"&amp;(N_SISWA-N_GRUP)))</f>
        <v>2</v>
      </c>
      <c r="G26" s="16" t="n">
        <f aca="false">IF($B26="","",COUNTIFS(JAWABAN!$Y$6:$Y$55,"B",SKOR!$AS$6:$AS$55,"&gt;=0"))</f>
        <v>3</v>
      </c>
      <c r="H26" s="39" t="n">
        <f aca="false">IF($B26="","",IFERROR(G26/N_SISWA,0))</f>
        <v>0.0967741935483871</v>
      </c>
      <c r="I26" s="16" t="n">
        <f aca="false">IF($B26="","",COUNTIFS(JAWABAN!$Y$6:$Y$55,"B",SKOR!$AW$6:$AW$55,"&lt;="&amp;N_GRUP))</f>
        <v>0</v>
      </c>
      <c r="J26" s="16" t="n">
        <f aca="false">IF($B26="","",COUNTIFS(JAWABAN!$Y$6:$Y$55,"B",SKOR!$AW$6:$AW$55,"&gt;"&amp;(N_SISWA-N_GRUP)))</f>
        <v>2</v>
      </c>
      <c r="K26" s="40" t="n">
        <f aca="false">IF($B26="","",COUNTIFS(JAWABAN!$Y$6:$Y$55,"C",SKOR!$AS$6:$AS$55,"&gt;=0"))</f>
        <v>6</v>
      </c>
      <c r="L26" s="39" t="n">
        <f aca="false">IF($B26="","",IFERROR(K26/N_SISWA,0))</f>
        <v>0.193548387096774</v>
      </c>
      <c r="M26" s="40" t="n">
        <f aca="false">IF($B26="","",COUNTIFS(JAWABAN!$Y$6:$Y$55,"C",SKOR!$AW$6:$AW$55,"&lt;="&amp;N_GRUP))</f>
        <v>0</v>
      </c>
      <c r="N26" s="40" t="n">
        <f aca="false">IF($B26="","",COUNTIFS(JAWABAN!$Y$6:$Y$55,"C",SKOR!$AW$6:$AW$55,"&gt;"&amp;(N_SISWA-N_GRUP)))</f>
        <v>1</v>
      </c>
      <c r="O26" s="40" t="n">
        <f aca="false">IF($B26="","",COUNTIFS(JAWABAN!$Y$6:$Y$55,"D",SKOR!$AS$6:$AS$55,"&gt;=0"))</f>
        <v>18</v>
      </c>
      <c r="P26" s="39" t="n">
        <f aca="false">IF($B26="","",IFERROR(O26/N_SISWA,0))</f>
        <v>0.580645161290323</v>
      </c>
      <c r="Q26" s="40" t="n">
        <f aca="false">IF($B26="","",COUNTIFS(JAWABAN!$Y$6:$Y$55,"D",SKOR!$AW$6:$AW$55,"&lt;="&amp;N_GRUP))</f>
        <v>7</v>
      </c>
      <c r="R26" s="40" t="n">
        <f aca="false">IF($B26="","",COUNTIFS(JAWABAN!$Y$6:$Y$55,"D",SKOR!$AW$6:$AW$55,"&gt;"&amp;(N_SISWA-N_GRUP)))</f>
        <v>3</v>
      </c>
      <c r="S26" s="16" t="n">
        <f aca="false">IF($B26="","",N_SISWA-(C26+G26+K26+O26))</f>
        <v>1</v>
      </c>
      <c r="T26" s="16" t="n">
        <f aca="false">IF($B26="","",($B26&lt;&gt;"A")*(D26&gt;=PERSEN_PENGECOH)+($B26&lt;&gt;"B")*(H26&gt;=PERSEN_PENGECOH)+($B26&lt;&gt;"C")*(L26&gt;=PERSEN_PENGECOH)+($B26&lt;&gt;"D")*(P26&gt;=PERSEN_PENGECOH))</f>
        <v>3</v>
      </c>
      <c r="U26" s="16" t="str">
        <f aca="false">IF($B26="","",IF(T26=3,"-",TRIM(IF(AND($B26&lt;&gt;"A",D26&lt;PERSEN_PENGECOH),"A ","")&amp;IF(AND($B26&lt;&gt;"B",H26&lt;PERSEN_PENGECOH),"B ","")&amp;IF(AND($B26&lt;&gt;"C",L26&lt;PERSEN_PENGECOH),"C ","")&amp;IF(AND($B26&lt;&gt;"D",P26&lt;PERSEN_PENGECOH),"D ",""))))</f>
        <v>-</v>
      </c>
    </row>
    <row r="27" customFormat="false" ht="15" hidden="false" customHeight="true" outlineLevel="0" collapsed="false">
      <c r="A27" s="16" t="n">
        <v>22</v>
      </c>
      <c r="B27" s="16" t="str">
        <f aca="false">ANALISIS!B27</f>
        <v>D</v>
      </c>
      <c r="C27" s="16" t="n">
        <f aca="false">IF($B27="","",COUNTIFS(JAWABAN!$Z$6:$Z$55,"A",SKOR!$AS$6:$AS$55,"&gt;=0"))</f>
        <v>1</v>
      </c>
      <c r="D27" s="39" t="n">
        <f aca="false">IF($B27="","",IFERROR(C27/N_SISWA,0))</f>
        <v>0.032258064516129</v>
      </c>
      <c r="E27" s="16" t="n">
        <f aca="false">IF($B27="","",COUNTIFS(JAWABAN!$Z$6:$Z$55,"A",SKOR!$AW$6:$AW$55,"&lt;="&amp;N_GRUP))</f>
        <v>0</v>
      </c>
      <c r="F27" s="16" t="n">
        <f aca="false">IF($B27="","",COUNTIFS(JAWABAN!$Z$6:$Z$55,"A",SKOR!$AW$6:$AW$55,"&gt;"&amp;(N_SISWA-N_GRUP)))</f>
        <v>0</v>
      </c>
      <c r="G27" s="16" t="n">
        <f aca="false">IF($B27="","",COUNTIFS(JAWABAN!$Z$6:$Z$55,"B",SKOR!$AS$6:$AS$55,"&gt;=0"))</f>
        <v>0</v>
      </c>
      <c r="H27" s="39" t="n">
        <f aca="false">IF($B27="","",IFERROR(G27/N_SISWA,0))</f>
        <v>0</v>
      </c>
      <c r="I27" s="16" t="n">
        <f aca="false">IF($B27="","",COUNTIFS(JAWABAN!$Z$6:$Z$55,"B",SKOR!$AW$6:$AW$55,"&lt;="&amp;N_GRUP))</f>
        <v>0</v>
      </c>
      <c r="J27" s="16" t="n">
        <f aca="false">IF($B27="","",COUNTIFS(JAWABAN!$Z$6:$Z$55,"B",SKOR!$AW$6:$AW$55,"&gt;"&amp;(N_SISWA-N_GRUP)))</f>
        <v>0</v>
      </c>
      <c r="K27" s="40" t="n">
        <f aca="false">IF($B27="","",COUNTIFS(JAWABAN!$Z$6:$Z$55,"C",SKOR!$AS$6:$AS$55,"&gt;=0"))</f>
        <v>9</v>
      </c>
      <c r="L27" s="39" t="n">
        <f aca="false">IF($B27="","",IFERROR(K27/N_SISWA,0))</f>
        <v>0.290322580645161</v>
      </c>
      <c r="M27" s="40" t="n">
        <f aca="false">IF($B27="","",COUNTIFS(JAWABAN!$Z$6:$Z$55,"C",SKOR!$AW$6:$AW$55,"&lt;="&amp;N_GRUP))</f>
        <v>2</v>
      </c>
      <c r="N27" s="40" t="n">
        <f aca="false">IF($B27="","",COUNTIFS(JAWABAN!$Z$6:$Z$55,"C",SKOR!$AW$6:$AW$55,"&gt;"&amp;(N_SISWA-N_GRUP)))</f>
        <v>4</v>
      </c>
      <c r="O27" s="40" t="n">
        <f aca="false">IF($B27="","",COUNTIFS(JAWABAN!$Z$6:$Z$55,"D",SKOR!$AS$6:$AS$55,"&gt;=0"))</f>
        <v>20</v>
      </c>
      <c r="P27" s="39" t="n">
        <f aca="false">IF($B27="","",IFERROR(O27/N_SISWA,0))</f>
        <v>0.645161290322581</v>
      </c>
      <c r="Q27" s="40" t="n">
        <f aca="false">IF($B27="","",COUNTIFS(JAWABAN!$Z$6:$Z$55,"D",SKOR!$AW$6:$AW$55,"&lt;="&amp;N_GRUP))</f>
        <v>6</v>
      </c>
      <c r="R27" s="40" t="n">
        <f aca="false">IF($B27="","",COUNTIFS(JAWABAN!$Z$6:$Z$55,"D",SKOR!$AW$6:$AW$55,"&gt;"&amp;(N_SISWA-N_GRUP)))</f>
        <v>4</v>
      </c>
      <c r="S27" s="16" t="n">
        <f aca="false">IF($B27="","",N_SISWA-(C27+G27+K27+O27))</f>
        <v>1</v>
      </c>
      <c r="T27" s="16" t="n">
        <f aca="false">IF($B27="","",($B27&lt;&gt;"A")*(D27&gt;=PERSEN_PENGECOH)+($B27&lt;&gt;"B")*(H27&gt;=PERSEN_PENGECOH)+($B27&lt;&gt;"C")*(L27&gt;=PERSEN_PENGECOH)+($B27&lt;&gt;"D")*(P27&gt;=PERSEN_PENGECOH))</f>
        <v>1</v>
      </c>
      <c r="U27" s="16" t="str">
        <f aca="false">IF($B27="","",IF(T27=3,"-",TRIM(IF(AND($B27&lt;&gt;"A",D27&lt;PERSEN_PENGECOH),"A ","")&amp;IF(AND($B27&lt;&gt;"B",H27&lt;PERSEN_PENGECOH),"B ","")&amp;IF(AND($B27&lt;&gt;"C",L27&lt;PERSEN_PENGECOH),"C ","")&amp;IF(AND($B27&lt;&gt;"D",P27&lt;PERSEN_PENGECOH),"D ",""))))</f>
        <v>A B</v>
      </c>
    </row>
    <row r="28" customFormat="false" ht="15" hidden="false" customHeight="true" outlineLevel="0" collapsed="false">
      <c r="A28" s="16" t="n">
        <v>23</v>
      </c>
      <c r="B28" s="16" t="str">
        <f aca="false">ANALISIS!B28</f>
        <v>A</v>
      </c>
      <c r="C28" s="16" t="n">
        <f aca="false">IF($B28="","",COUNTIFS(JAWABAN!$AA$6:$AA$55,"A",SKOR!$AS$6:$AS$55,"&gt;=0"))</f>
        <v>22</v>
      </c>
      <c r="D28" s="39" t="n">
        <f aca="false">IF($B28="","",IFERROR(C28/N_SISWA,0))</f>
        <v>0.709677419354839</v>
      </c>
      <c r="E28" s="16" t="n">
        <f aca="false">IF($B28="","",COUNTIFS(JAWABAN!$AA$6:$AA$55,"A",SKOR!$AW$6:$AW$55,"&lt;="&amp;N_GRUP))</f>
        <v>6</v>
      </c>
      <c r="F28" s="16" t="n">
        <f aca="false">IF($B28="","",COUNTIFS(JAWABAN!$AA$6:$AA$55,"A",SKOR!$AW$6:$AW$55,"&gt;"&amp;(N_SISWA-N_GRUP)))</f>
        <v>5</v>
      </c>
      <c r="G28" s="16" t="n">
        <f aca="false">IF($B28="","",COUNTIFS(JAWABAN!$AA$6:$AA$55,"B",SKOR!$AS$6:$AS$55,"&gt;=0"))</f>
        <v>2</v>
      </c>
      <c r="H28" s="39" t="n">
        <f aca="false">IF($B28="","",IFERROR(G28/N_SISWA,0))</f>
        <v>0.0645161290322581</v>
      </c>
      <c r="I28" s="16" t="n">
        <f aca="false">IF($B28="","",COUNTIFS(JAWABAN!$AA$6:$AA$55,"B",SKOR!$AW$6:$AW$55,"&lt;="&amp;N_GRUP))</f>
        <v>0</v>
      </c>
      <c r="J28" s="16" t="n">
        <f aca="false">IF($B28="","",COUNTIFS(JAWABAN!$AA$6:$AA$55,"B",SKOR!$AW$6:$AW$55,"&gt;"&amp;(N_SISWA-N_GRUP)))</f>
        <v>1</v>
      </c>
      <c r="K28" s="40" t="n">
        <f aca="false">IF($B28="","",COUNTIFS(JAWABAN!$AA$6:$AA$55,"C",SKOR!$AS$6:$AS$55,"&gt;=0"))</f>
        <v>3</v>
      </c>
      <c r="L28" s="39" t="n">
        <f aca="false">IF($B28="","",IFERROR(K28/N_SISWA,0))</f>
        <v>0.0967741935483871</v>
      </c>
      <c r="M28" s="40" t="n">
        <f aca="false">IF($B28="","",COUNTIFS(JAWABAN!$AA$6:$AA$55,"C",SKOR!$AW$6:$AW$55,"&lt;="&amp;N_GRUP))</f>
        <v>0</v>
      </c>
      <c r="N28" s="40" t="n">
        <f aca="false">IF($B28="","",COUNTIFS(JAWABAN!$AA$6:$AA$55,"C",SKOR!$AW$6:$AW$55,"&gt;"&amp;(N_SISWA-N_GRUP)))</f>
        <v>2</v>
      </c>
      <c r="O28" s="40" t="n">
        <f aca="false">IF($B28="","",COUNTIFS(JAWABAN!$AA$6:$AA$55,"D",SKOR!$AS$6:$AS$55,"&gt;=0"))</f>
        <v>2</v>
      </c>
      <c r="P28" s="39" t="n">
        <f aca="false">IF($B28="","",IFERROR(O28/N_SISWA,0))</f>
        <v>0.0645161290322581</v>
      </c>
      <c r="Q28" s="40" t="n">
        <f aca="false">IF($B28="","",COUNTIFS(JAWABAN!$AA$6:$AA$55,"D",SKOR!$AW$6:$AW$55,"&lt;="&amp;N_GRUP))</f>
        <v>0</v>
      </c>
      <c r="R28" s="40" t="n">
        <f aca="false">IF($B28="","",COUNTIFS(JAWABAN!$AA$6:$AA$55,"D",SKOR!$AW$6:$AW$55,"&gt;"&amp;(N_SISWA-N_GRUP)))</f>
        <v>0</v>
      </c>
      <c r="S28" s="16" t="n">
        <f aca="false">IF($B28="","",N_SISWA-(C28+G28+K28+O28))</f>
        <v>2</v>
      </c>
      <c r="T28" s="16" t="n">
        <f aca="false">IF($B28="","",($B28&lt;&gt;"A")*(D28&gt;=PERSEN_PENGECOH)+($B28&lt;&gt;"B")*(H28&gt;=PERSEN_PENGECOH)+($B28&lt;&gt;"C")*(L28&gt;=PERSEN_PENGECOH)+($B28&lt;&gt;"D")*(P28&gt;=PERSEN_PENGECOH))</f>
        <v>3</v>
      </c>
      <c r="U28" s="16" t="str">
        <f aca="false">IF($B28="","",IF(T28=3,"-",TRIM(IF(AND($B28&lt;&gt;"A",D28&lt;PERSEN_PENGECOH),"A ","")&amp;IF(AND($B28&lt;&gt;"B",H28&lt;PERSEN_PENGECOH),"B ","")&amp;IF(AND($B28&lt;&gt;"C",L28&lt;PERSEN_PENGECOH),"C ","")&amp;IF(AND($B28&lt;&gt;"D",P28&lt;PERSEN_PENGECOH),"D ",""))))</f>
        <v>-</v>
      </c>
    </row>
    <row r="29" customFormat="false" ht="15" hidden="false" customHeight="true" outlineLevel="0" collapsed="false">
      <c r="A29" s="16" t="n">
        <v>24</v>
      </c>
      <c r="B29" s="16" t="str">
        <f aca="false">ANALISIS!B29</f>
        <v>C</v>
      </c>
      <c r="C29" s="16" t="n">
        <f aca="false">IF($B29="","",COUNTIFS(JAWABAN!$AB$6:$AB$55,"A",SKOR!$AS$6:$AS$55,"&gt;=0"))</f>
        <v>8</v>
      </c>
      <c r="D29" s="39" t="n">
        <f aca="false">IF($B29="","",IFERROR(C29/N_SISWA,0))</f>
        <v>0.258064516129032</v>
      </c>
      <c r="E29" s="16" t="n">
        <f aca="false">IF($B29="","",COUNTIFS(JAWABAN!$AB$6:$AB$55,"A",SKOR!$AW$6:$AW$55,"&lt;="&amp;N_GRUP))</f>
        <v>1</v>
      </c>
      <c r="F29" s="16" t="n">
        <f aca="false">IF($B29="","",COUNTIFS(JAWABAN!$AB$6:$AB$55,"A",SKOR!$AW$6:$AW$55,"&gt;"&amp;(N_SISWA-N_GRUP)))</f>
        <v>5</v>
      </c>
      <c r="G29" s="16" t="n">
        <f aca="false">IF($B29="","",COUNTIFS(JAWABAN!$AB$6:$AB$55,"B",SKOR!$AS$6:$AS$55,"&gt;=0"))</f>
        <v>1</v>
      </c>
      <c r="H29" s="39" t="n">
        <f aca="false">IF($B29="","",IFERROR(G29/N_SISWA,0))</f>
        <v>0.032258064516129</v>
      </c>
      <c r="I29" s="16" t="n">
        <f aca="false">IF($B29="","",COUNTIFS(JAWABAN!$AB$6:$AB$55,"B",SKOR!$AW$6:$AW$55,"&lt;="&amp;N_GRUP))</f>
        <v>0</v>
      </c>
      <c r="J29" s="16" t="n">
        <f aca="false">IF($B29="","",COUNTIFS(JAWABAN!$AB$6:$AB$55,"B",SKOR!$AW$6:$AW$55,"&gt;"&amp;(N_SISWA-N_GRUP)))</f>
        <v>1</v>
      </c>
      <c r="K29" s="40" t="n">
        <f aca="false">IF($B29="","",COUNTIFS(JAWABAN!$AB$6:$AB$55,"C",SKOR!$AS$6:$AS$55,"&gt;=0"))</f>
        <v>21</v>
      </c>
      <c r="L29" s="39" t="n">
        <f aca="false">IF($B29="","",IFERROR(K29/N_SISWA,0))</f>
        <v>0.67741935483871</v>
      </c>
      <c r="M29" s="40" t="n">
        <f aca="false">IF($B29="","",COUNTIFS(JAWABAN!$AB$6:$AB$55,"C",SKOR!$AW$6:$AW$55,"&lt;="&amp;N_GRUP))</f>
        <v>7</v>
      </c>
      <c r="N29" s="40" t="n">
        <f aca="false">IF($B29="","",COUNTIFS(JAWABAN!$AB$6:$AB$55,"C",SKOR!$AW$6:$AW$55,"&gt;"&amp;(N_SISWA-N_GRUP)))</f>
        <v>2</v>
      </c>
      <c r="O29" s="40" t="n">
        <f aca="false">IF($B29="","",COUNTIFS(JAWABAN!$AB$6:$AB$55,"D",SKOR!$AS$6:$AS$55,"&gt;=0"))</f>
        <v>1</v>
      </c>
      <c r="P29" s="39" t="n">
        <f aca="false">IF($B29="","",IFERROR(O29/N_SISWA,0))</f>
        <v>0.032258064516129</v>
      </c>
      <c r="Q29" s="40" t="n">
        <f aca="false">IF($B29="","",COUNTIFS(JAWABAN!$AB$6:$AB$55,"D",SKOR!$AW$6:$AW$55,"&lt;="&amp;N_GRUP))</f>
        <v>0</v>
      </c>
      <c r="R29" s="40" t="n">
        <f aca="false">IF($B29="","",COUNTIFS(JAWABAN!$AB$6:$AB$55,"D",SKOR!$AW$6:$AW$55,"&gt;"&amp;(N_SISWA-N_GRUP)))</f>
        <v>0</v>
      </c>
      <c r="S29" s="16" t="n">
        <f aca="false">IF($B29="","",N_SISWA-(C29+G29+K29+O29))</f>
        <v>0</v>
      </c>
      <c r="T29" s="16" t="n">
        <f aca="false">IF($B29="","",($B29&lt;&gt;"A")*(D29&gt;=PERSEN_PENGECOH)+($B29&lt;&gt;"B")*(H29&gt;=PERSEN_PENGECOH)+($B29&lt;&gt;"C")*(L29&gt;=PERSEN_PENGECOH)+($B29&lt;&gt;"D")*(P29&gt;=PERSEN_PENGECOH))</f>
        <v>1</v>
      </c>
      <c r="U29" s="16" t="str">
        <f aca="false">IF($B29="","",IF(T29=3,"-",TRIM(IF(AND($B29&lt;&gt;"A",D29&lt;PERSEN_PENGECOH),"A ","")&amp;IF(AND($B29&lt;&gt;"B",H29&lt;PERSEN_PENGECOH),"B ","")&amp;IF(AND($B29&lt;&gt;"C",L29&lt;PERSEN_PENGECOH),"C ","")&amp;IF(AND($B29&lt;&gt;"D",P29&lt;PERSEN_PENGECOH),"D ",""))))</f>
        <v>B D</v>
      </c>
    </row>
    <row r="30" customFormat="false" ht="15" hidden="false" customHeight="true" outlineLevel="0" collapsed="false">
      <c r="A30" s="16" t="n">
        <v>25</v>
      </c>
      <c r="B30" s="16" t="str">
        <f aca="false">ANALISIS!B30</f>
        <v>D</v>
      </c>
      <c r="C30" s="16" t="n">
        <f aca="false">IF($B30="","",COUNTIFS(JAWABAN!$AC$6:$AC$55,"A",SKOR!$AS$6:$AS$55,"&gt;=0"))</f>
        <v>3</v>
      </c>
      <c r="D30" s="39" t="n">
        <f aca="false">IF($B30="","",IFERROR(C30/N_SISWA,0))</f>
        <v>0.0967741935483871</v>
      </c>
      <c r="E30" s="16" t="n">
        <f aca="false">IF($B30="","",COUNTIFS(JAWABAN!$AC$6:$AC$55,"A",SKOR!$AW$6:$AW$55,"&lt;="&amp;N_GRUP))</f>
        <v>2</v>
      </c>
      <c r="F30" s="16" t="n">
        <f aca="false">IF($B30="","",COUNTIFS(JAWABAN!$AC$6:$AC$55,"A",SKOR!$AW$6:$AW$55,"&gt;"&amp;(N_SISWA-N_GRUP)))</f>
        <v>1</v>
      </c>
      <c r="G30" s="16" t="n">
        <f aca="false">IF($B30="","",COUNTIFS(JAWABAN!$AC$6:$AC$55,"B",SKOR!$AS$6:$AS$55,"&gt;=0"))</f>
        <v>5</v>
      </c>
      <c r="H30" s="39" t="n">
        <f aca="false">IF($B30="","",IFERROR(G30/N_SISWA,0))</f>
        <v>0.161290322580645</v>
      </c>
      <c r="I30" s="16" t="n">
        <f aca="false">IF($B30="","",COUNTIFS(JAWABAN!$AC$6:$AC$55,"B",SKOR!$AW$6:$AW$55,"&lt;="&amp;N_GRUP))</f>
        <v>1</v>
      </c>
      <c r="J30" s="16" t="n">
        <f aca="false">IF($B30="","",COUNTIFS(JAWABAN!$AC$6:$AC$55,"B",SKOR!$AW$6:$AW$55,"&gt;"&amp;(N_SISWA-N_GRUP)))</f>
        <v>0</v>
      </c>
      <c r="K30" s="40" t="n">
        <f aca="false">IF($B30="","",COUNTIFS(JAWABAN!$AC$6:$AC$55,"C",SKOR!$AS$6:$AS$55,"&gt;=0"))</f>
        <v>4</v>
      </c>
      <c r="L30" s="39" t="n">
        <f aca="false">IF($B30="","",IFERROR(K30/N_SISWA,0))</f>
        <v>0.129032258064516</v>
      </c>
      <c r="M30" s="40" t="n">
        <f aca="false">IF($B30="","",COUNTIFS(JAWABAN!$AC$6:$AC$55,"C",SKOR!$AW$6:$AW$55,"&lt;="&amp;N_GRUP))</f>
        <v>0</v>
      </c>
      <c r="N30" s="40" t="n">
        <f aca="false">IF($B30="","",COUNTIFS(JAWABAN!$AC$6:$AC$55,"C",SKOR!$AW$6:$AW$55,"&gt;"&amp;(N_SISWA-N_GRUP)))</f>
        <v>2</v>
      </c>
      <c r="O30" s="40" t="n">
        <f aca="false">IF($B30="","",COUNTIFS(JAWABAN!$AC$6:$AC$55,"D",SKOR!$AS$6:$AS$55,"&gt;=0"))</f>
        <v>19</v>
      </c>
      <c r="P30" s="39" t="n">
        <f aca="false">IF($B30="","",IFERROR(O30/N_SISWA,0))</f>
        <v>0.612903225806452</v>
      </c>
      <c r="Q30" s="40" t="n">
        <f aca="false">IF($B30="","",COUNTIFS(JAWABAN!$AC$6:$AC$55,"D",SKOR!$AW$6:$AW$55,"&lt;="&amp;N_GRUP))</f>
        <v>5</v>
      </c>
      <c r="R30" s="40" t="n">
        <f aca="false">IF($B30="","",COUNTIFS(JAWABAN!$AC$6:$AC$55,"D",SKOR!$AW$6:$AW$55,"&gt;"&amp;(N_SISWA-N_GRUP)))</f>
        <v>5</v>
      </c>
      <c r="S30" s="16" t="n">
        <f aca="false">IF($B30="","",N_SISWA-(C30+G30+K30+O30))</f>
        <v>0</v>
      </c>
      <c r="T30" s="16" t="n">
        <f aca="false">IF($B30="","",($B30&lt;&gt;"A")*(D30&gt;=PERSEN_PENGECOH)+($B30&lt;&gt;"B")*(H30&gt;=PERSEN_PENGECOH)+($B30&lt;&gt;"C")*(L30&gt;=PERSEN_PENGECOH)+($B30&lt;&gt;"D")*(P30&gt;=PERSEN_PENGECOH))</f>
        <v>3</v>
      </c>
      <c r="U30" s="16" t="str">
        <f aca="false">IF($B30="","",IF(T30=3,"-",TRIM(IF(AND($B30&lt;&gt;"A",D30&lt;PERSEN_PENGECOH),"A ","")&amp;IF(AND($B30&lt;&gt;"B",H30&lt;PERSEN_PENGECOH),"B ","")&amp;IF(AND($B30&lt;&gt;"C",L30&lt;PERSEN_PENGECOH),"C ","")&amp;IF(AND($B30&lt;&gt;"D",P30&lt;PERSEN_PENGECOH),"D ",""))))</f>
        <v>-</v>
      </c>
    </row>
    <row r="31" customFormat="false" ht="15" hidden="false" customHeight="true" outlineLevel="0" collapsed="false">
      <c r="A31" s="16" t="n">
        <v>26</v>
      </c>
      <c r="B31" s="16" t="str">
        <f aca="false">ANALISIS!B31</f>
        <v>C</v>
      </c>
      <c r="C31" s="16" t="n">
        <f aca="false">IF($B31="","",COUNTIFS(JAWABAN!$AD$6:$AD$55,"A",SKOR!$AS$6:$AS$55,"&gt;=0"))</f>
        <v>4</v>
      </c>
      <c r="D31" s="39" t="n">
        <f aca="false">IF($B31="","",IFERROR(C31/N_SISWA,0))</f>
        <v>0.129032258064516</v>
      </c>
      <c r="E31" s="16" t="n">
        <f aca="false">IF($B31="","",COUNTIFS(JAWABAN!$AD$6:$AD$55,"A",SKOR!$AW$6:$AW$55,"&lt;="&amp;N_GRUP))</f>
        <v>1</v>
      </c>
      <c r="F31" s="16" t="n">
        <f aca="false">IF($B31="","",COUNTIFS(JAWABAN!$AD$6:$AD$55,"A",SKOR!$AW$6:$AW$55,"&gt;"&amp;(N_SISWA-N_GRUP)))</f>
        <v>0</v>
      </c>
      <c r="G31" s="16" t="n">
        <f aca="false">IF($B31="","",COUNTIFS(JAWABAN!$AD$6:$AD$55,"B",SKOR!$AS$6:$AS$55,"&gt;=0"))</f>
        <v>4</v>
      </c>
      <c r="H31" s="39" t="n">
        <f aca="false">IF($B31="","",IFERROR(G31/N_SISWA,0))</f>
        <v>0.129032258064516</v>
      </c>
      <c r="I31" s="16" t="n">
        <f aca="false">IF($B31="","",COUNTIFS(JAWABAN!$AD$6:$AD$55,"B",SKOR!$AW$6:$AW$55,"&lt;="&amp;N_GRUP))</f>
        <v>0</v>
      </c>
      <c r="J31" s="16" t="n">
        <f aca="false">IF($B31="","",COUNTIFS(JAWABAN!$AD$6:$AD$55,"B",SKOR!$AW$6:$AW$55,"&gt;"&amp;(N_SISWA-N_GRUP)))</f>
        <v>4</v>
      </c>
      <c r="K31" s="40" t="n">
        <f aca="false">IF($B31="","",COUNTIFS(JAWABAN!$AD$6:$AD$55,"C",SKOR!$AS$6:$AS$55,"&gt;=0"))</f>
        <v>18</v>
      </c>
      <c r="L31" s="39" t="n">
        <f aca="false">IF($B31="","",IFERROR(K31/N_SISWA,0))</f>
        <v>0.580645161290323</v>
      </c>
      <c r="M31" s="40" t="n">
        <f aca="false">IF($B31="","",COUNTIFS(JAWABAN!$AD$6:$AD$55,"C",SKOR!$AW$6:$AW$55,"&lt;="&amp;N_GRUP))</f>
        <v>6</v>
      </c>
      <c r="N31" s="40" t="n">
        <f aca="false">IF($B31="","",COUNTIFS(JAWABAN!$AD$6:$AD$55,"C",SKOR!$AW$6:$AW$55,"&gt;"&amp;(N_SISWA-N_GRUP)))</f>
        <v>3</v>
      </c>
      <c r="O31" s="40" t="n">
        <f aca="false">IF($B31="","",COUNTIFS(JAWABAN!$AD$6:$AD$55,"D",SKOR!$AS$6:$AS$55,"&gt;=0"))</f>
        <v>4</v>
      </c>
      <c r="P31" s="39" t="n">
        <f aca="false">IF($B31="","",IFERROR(O31/N_SISWA,0))</f>
        <v>0.129032258064516</v>
      </c>
      <c r="Q31" s="40" t="n">
        <f aca="false">IF($B31="","",COUNTIFS(JAWABAN!$AD$6:$AD$55,"D",SKOR!$AW$6:$AW$55,"&lt;="&amp;N_GRUP))</f>
        <v>0</v>
      </c>
      <c r="R31" s="40" t="n">
        <f aca="false">IF($B31="","",COUNTIFS(JAWABAN!$AD$6:$AD$55,"D",SKOR!$AW$6:$AW$55,"&gt;"&amp;(N_SISWA-N_GRUP)))</f>
        <v>1</v>
      </c>
      <c r="S31" s="16" t="n">
        <f aca="false">IF($B31="","",N_SISWA-(C31+G31+K31+O31))</f>
        <v>1</v>
      </c>
      <c r="T31" s="16" t="n">
        <f aca="false">IF($B31="","",($B31&lt;&gt;"A")*(D31&gt;=PERSEN_PENGECOH)+($B31&lt;&gt;"B")*(H31&gt;=PERSEN_PENGECOH)+($B31&lt;&gt;"C")*(L31&gt;=PERSEN_PENGECOH)+($B31&lt;&gt;"D")*(P31&gt;=PERSEN_PENGECOH))</f>
        <v>3</v>
      </c>
      <c r="U31" s="16" t="str">
        <f aca="false">IF($B31="","",IF(T31=3,"-",TRIM(IF(AND($B31&lt;&gt;"A",D31&lt;PERSEN_PENGECOH),"A ","")&amp;IF(AND($B31&lt;&gt;"B",H31&lt;PERSEN_PENGECOH),"B ","")&amp;IF(AND($B31&lt;&gt;"C",L31&lt;PERSEN_PENGECOH),"C ","")&amp;IF(AND($B31&lt;&gt;"D",P31&lt;PERSEN_PENGECOH),"D ",""))))</f>
        <v>-</v>
      </c>
    </row>
    <row r="32" customFormat="false" ht="15" hidden="false" customHeight="true" outlineLevel="0" collapsed="false">
      <c r="A32" s="16" t="n">
        <v>27</v>
      </c>
      <c r="B32" s="16" t="str">
        <f aca="false">ANALISIS!B32</f>
        <v>C</v>
      </c>
      <c r="C32" s="16" t="n">
        <f aca="false">IF($B32="","",COUNTIFS(JAWABAN!$AE$6:$AE$55,"A",SKOR!$AS$6:$AS$55,"&gt;=0"))</f>
        <v>4</v>
      </c>
      <c r="D32" s="39" t="n">
        <f aca="false">IF($B32="","",IFERROR(C32/N_SISWA,0))</f>
        <v>0.129032258064516</v>
      </c>
      <c r="E32" s="16" t="n">
        <f aca="false">IF($B32="","",COUNTIFS(JAWABAN!$AE$6:$AE$55,"A",SKOR!$AW$6:$AW$55,"&lt;="&amp;N_GRUP))</f>
        <v>1</v>
      </c>
      <c r="F32" s="16" t="n">
        <f aca="false">IF($B32="","",COUNTIFS(JAWABAN!$AE$6:$AE$55,"A",SKOR!$AW$6:$AW$55,"&gt;"&amp;(N_SISWA-N_GRUP)))</f>
        <v>1</v>
      </c>
      <c r="G32" s="16" t="n">
        <f aca="false">IF($B32="","",COUNTIFS(JAWABAN!$AE$6:$AE$55,"B",SKOR!$AS$6:$AS$55,"&gt;=0"))</f>
        <v>4</v>
      </c>
      <c r="H32" s="39" t="n">
        <f aca="false">IF($B32="","",IFERROR(G32/N_SISWA,0))</f>
        <v>0.129032258064516</v>
      </c>
      <c r="I32" s="16" t="n">
        <f aca="false">IF($B32="","",COUNTIFS(JAWABAN!$AE$6:$AE$55,"B",SKOR!$AW$6:$AW$55,"&lt;="&amp;N_GRUP))</f>
        <v>0</v>
      </c>
      <c r="J32" s="16" t="n">
        <f aca="false">IF($B32="","",COUNTIFS(JAWABAN!$AE$6:$AE$55,"B",SKOR!$AW$6:$AW$55,"&gt;"&amp;(N_SISWA-N_GRUP)))</f>
        <v>1</v>
      </c>
      <c r="K32" s="40" t="n">
        <f aca="false">IF($B32="","",COUNTIFS(JAWABAN!$AE$6:$AE$55,"C",SKOR!$AS$6:$AS$55,"&gt;=0"))</f>
        <v>18</v>
      </c>
      <c r="L32" s="39" t="n">
        <f aca="false">IF($B32="","",IFERROR(K32/N_SISWA,0))</f>
        <v>0.580645161290323</v>
      </c>
      <c r="M32" s="40" t="n">
        <f aca="false">IF($B32="","",COUNTIFS(JAWABAN!$AE$6:$AE$55,"C",SKOR!$AW$6:$AW$55,"&lt;="&amp;N_GRUP))</f>
        <v>7</v>
      </c>
      <c r="N32" s="40" t="n">
        <f aca="false">IF($B32="","",COUNTIFS(JAWABAN!$AE$6:$AE$55,"C",SKOR!$AW$6:$AW$55,"&gt;"&amp;(N_SISWA-N_GRUP)))</f>
        <v>3</v>
      </c>
      <c r="O32" s="40" t="n">
        <f aca="false">IF($B32="","",COUNTIFS(JAWABAN!$AE$6:$AE$55,"D",SKOR!$AS$6:$AS$55,"&gt;=0"))</f>
        <v>4</v>
      </c>
      <c r="P32" s="39" t="n">
        <f aca="false">IF($B32="","",IFERROR(O32/N_SISWA,0))</f>
        <v>0.129032258064516</v>
      </c>
      <c r="Q32" s="40" t="n">
        <f aca="false">IF($B32="","",COUNTIFS(JAWABAN!$AE$6:$AE$55,"D",SKOR!$AW$6:$AW$55,"&lt;="&amp;N_GRUP))</f>
        <v>0</v>
      </c>
      <c r="R32" s="40" t="n">
        <f aca="false">IF($B32="","",COUNTIFS(JAWABAN!$AE$6:$AE$55,"D",SKOR!$AW$6:$AW$55,"&gt;"&amp;(N_SISWA-N_GRUP)))</f>
        <v>3</v>
      </c>
      <c r="S32" s="16" t="n">
        <f aca="false">IF($B32="","",N_SISWA-(C32+G32+K32+O32))</f>
        <v>1</v>
      </c>
      <c r="T32" s="16" t="n">
        <f aca="false">IF($B32="","",($B32&lt;&gt;"A")*(D32&gt;=PERSEN_PENGECOH)+($B32&lt;&gt;"B")*(H32&gt;=PERSEN_PENGECOH)+($B32&lt;&gt;"C")*(L32&gt;=PERSEN_PENGECOH)+($B32&lt;&gt;"D")*(P32&gt;=PERSEN_PENGECOH))</f>
        <v>3</v>
      </c>
      <c r="U32" s="16" t="str">
        <f aca="false">IF($B32="","",IF(T32=3,"-",TRIM(IF(AND($B32&lt;&gt;"A",D32&lt;PERSEN_PENGECOH),"A ","")&amp;IF(AND($B32&lt;&gt;"B",H32&lt;PERSEN_PENGECOH),"B ","")&amp;IF(AND($B32&lt;&gt;"C",L32&lt;PERSEN_PENGECOH),"C ","")&amp;IF(AND($B32&lt;&gt;"D",P32&lt;PERSEN_PENGECOH),"D ",""))))</f>
        <v>-</v>
      </c>
    </row>
    <row r="33" customFormat="false" ht="15" hidden="false" customHeight="true" outlineLevel="0" collapsed="false">
      <c r="A33" s="16" t="n">
        <v>28</v>
      </c>
      <c r="B33" s="16" t="str">
        <f aca="false">ANALISIS!B33</f>
        <v>C</v>
      </c>
      <c r="C33" s="16" t="n">
        <f aca="false">IF($B33="","",COUNTIFS(JAWABAN!$AF$6:$AF$55,"A",SKOR!$AS$6:$AS$55,"&gt;=0"))</f>
        <v>3</v>
      </c>
      <c r="D33" s="39" t="n">
        <f aca="false">IF($B33="","",IFERROR(C33/N_SISWA,0))</f>
        <v>0.0967741935483871</v>
      </c>
      <c r="E33" s="16" t="n">
        <f aca="false">IF($B33="","",COUNTIFS(JAWABAN!$AF$6:$AF$55,"A",SKOR!$AW$6:$AW$55,"&lt;="&amp;N_GRUP))</f>
        <v>1</v>
      </c>
      <c r="F33" s="16" t="n">
        <f aca="false">IF($B33="","",COUNTIFS(JAWABAN!$AF$6:$AF$55,"A",SKOR!$AW$6:$AW$55,"&gt;"&amp;(N_SISWA-N_GRUP)))</f>
        <v>1</v>
      </c>
      <c r="G33" s="16" t="n">
        <f aca="false">IF($B33="","",COUNTIFS(JAWABAN!$AF$6:$AF$55,"B",SKOR!$AS$6:$AS$55,"&gt;=0"))</f>
        <v>7</v>
      </c>
      <c r="H33" s="39" t="n">
        <f aca="false">IF($B33="","",IFERROR(G33/N_SISWA,0))</f>
        <v>0.225806451612903</v>
      </c>
      <c r="I33" s="16" t="n">
        <f aca="false">IF($B33="","",COUNTIFS(JAWABAN!$AF$6:$AF$55,"B",SKOR!$AW$6:$AW$55,"&lt;="&amp;N_GRUP))</f>
        <v>2</v>
      </c>
      <c r="J33" s="16" t="n">
        <f aca="false">IF($B33="","",COUNTIFS(JAWABAN!$AF$6:$AF$55,"B",SKOR!$AW$6:$AW$55,"&gt;"&amp;(N_SISWA-N_GRUP)))</f>
        <v>3</v>
      </c>
      <c r="K33" s="40" t="n">
        <f aca="false">IF($B33="","",COUNTIFS(JAWABAN!$AF$6:$AF$55,"C",SKOR!$AS$6:$AS$55,"&gt;=0"))</f>
        <v>13</v>
      </c>
      <c r="L33" s="39" t="n">
        <f aca="false">IF($B33="","",IFERROR(K33/N_SISWA,0))</f>
        <v>0.419354838709677</v>
      </c>
      <c r="M33" s="40" t="n">
        <f aca="false">IF($B33="","",COUNTIFS(JAWABAN!$AF$6:$AF$55,"C",SKOR!$AW$6:$AW$55,"&lt;="&amp;N_GRUP))</f>
        <v>5</v>
      </c>
      <c r="N33" s="40" t="n">
        <f aca="false">IF($B33="","",COUNTIFS(JAWABAN!$AF$6:$AF$55,"C",SKOR!$AW$6:$AW$55,"&gt;"&amp;(N_SISWA-N_GRUP)))</f>
        <v>1</v>
      </c>
      <c r="O33" s="40" t="n">
        <f aca="false">IF($B33="","",COUNTIFS(JAWABAN!$AF$6:$AF$55,"D",SKOR!$AS$6:$AS$55,"&gt;=0"))</f>
        <v>6</v>
      </c>
      <c r="P33" s="39" t="n">
        <f aca="false">IF($B33="","",IFERROR(O33/N_SISWA,0))</f>
        <v>0.193548387096774</v>
      </c>
      <c r="Q33" s="40" t="n">
        <f aca="false">IF($B33="","",COUNTIFS(JAWABAN!$AF$6:$AF$55,"D",SKOR!$AW$6:$AW$55,"&lt;="&amp;N_GRUP))</f>
        <v>0</v>
      </c>
      <c r="R33" s="40" t="n">
        <f aca="false">IF($B33="","",COUNTIFS(JAWABAN!$AF$6:$AF$55,"D",SKOR!$AW$6:$AW$55,"&gt;"&amp;(N_SISWA-N_GRUP)))</f>
        <v>2</v>
      </c>
      <c r="S33" s="16" t="n">
        <f aca="false">IF($B33="","",N_SISWA-(C33+G33+K33+O33))</f>
        <v>2</v>
      </c>
      <c r="T33" s="16" t="n">
        <f aca="false">IF($B33="","",($B33&lt;&gt;"A")*(D33&gt;=PERSEN_PENGECOH)+($B33&lt;&gt;"B")*(H33&gt;=PERSEN_PENGECOH)+($B33&lt;&gt;"C")*(L33&gt;=PERSEN_PENGECOH)+($B33&lt;&gt;"D")*(P33&gt;=PERSEN_PENGECOH))</f>
        <v>3</v>
      </c>
      <c r="U33" s="16" t="str">
        <f aca="false">IF($B33="","",IF(T33=3,"-",TRIM(IF(AND($B33&lt;&gt;"A",D33&lt;PERSEN_PENGECOH),"A ","")&amp;IF(AND($B33&lt;&gt;"B",H33&lt;PERSEN_PENGECOH),"B ","")&amp;IF(AND($B33&lt;&gt;"C",L33&lt;PERSEN_PENGECOH),"C ","")&amp;IF(AND($B33&lt;&gt;"D",P33&lt;PERSEN_PENGECOH),"D ",""))))</f>
        <v>-</v>
      </c>
    </row>
    <row r="34" customFormat="false" ht="15" hidden="false" customHeight="true" outlineLevel="0" collapsed="false">
      <c r="A34" s="16" t="n">
        <v>29</v>
      </c>
      <c r="B34" s="16" t="str">
        <f aca="false">ANALISIS!B34</f>
        <v>D</v>
      </c>
      <c r="C34" s="16" t="n">
        <f aca="false">IF($B34="","",COUNTIFS(JAWABAN!$AG$6:$AG$55,"A",SKOR!$AS$6:$AS$55,"&gt;=0"))</f>
        <v>5</v>
      </c>
      <c r="D34" s="39" t="n">
        <f aca="false">IF($B34="","",IFERROR(C34/N_SISWA,0))</f>
        <v>0.161290322580645</v>
      </c>
      <c r="E34" s="16" t="n">
        <f aca="false">IF($B34="","",COUNTIFS(JAWABAN!$AG$6:$AG$55,"A",SKOR!$AW$6:$AW$55,"&lt;="&amp;N_GRUP))</f>
        <v>0</v>
      </c>
      <c r="F34" s="16" t="n">
        <f aca="false">IF($B34="","",COUNTIFS(JAWABAN!$AG$6:$AG$55,"A",SKOR!$AW$6:$AW$55,"&gt;"&amp;(N_SISWA-N_GRUP)))</f>
        <v>2</v>
      </c>
      <c r="G34" s="16" t="n">
        <f aca="false">IF($B34="","",COUNTIFS(JAWABAN!$AG$6:$AG$55,"B",SKOR!$AS$6:$AS$55,"&gt;=0"))</f>
        <v>3</v>
      </c>
      <c r="H34" s="39" t="n">
        <f aca="false">IF($B34="","",IFERROR(G34/N_SISWA,0))</f>
        <v>0.0967741935483871</v>
      </c>
      <c r="I34" s="16" t="n">
        <f aca="false">IF($B34="","",COUNTIFS(JAWABAN!$AG$6:$AG$55,"B",SKOR!$AW$6:$AW$55,"&lt;="&amp;N_GRUP))</f>
        <v>0</v>
      </c>
      <c r="J34" s="16" t="n">
        <f aca="false">IF($B34="","",COUNTIFS(JAWABAN!$AG$6:$AG$55,"B",SKOR!$AW$6:$AW$55,"&gt;"&amp;(N_SISWA-N_GRUP)))</f>
        <v>1</v>
      </c>
      <c r="K34" s="40" t="n">
        <f aca="false">IF($B34="","",COUNTIFS(JAWABAN!$AG$6:$AG$55,"C",SKOR!$AS$6:$AS$55,"&gt;=0"))</f>
        <v>6</v>
      </c>
      <c r="L34" s="39" t="n">
        <f aca="false">IF($B34="","",IFERROR(K34/N_SISWA,0))</f>
        <v>0.193548387096774</v>
      </c>
      <c r="M34" s="40" t="n">
        <f aca="false">IF($B34="","",COUNTIFS(JAWABAN!$AG$6:$AG$55,"C",SKOR!$AW$6:$AW$55,"&lt;="&amp;N_GRUP))</f>
        <v>0</v>
      </c>
      <c r="N34" s="40" t="n">
        <f aca="false">IF($B34="","",COUNTIFS(JAWABAN!$AG$6:$AG$55,"C",SKOR!$AW$6:$AW$55,"&gt;"&amp;(N_SISWA-N_GRUP)))</f>
        <v>2</v>
      </c>
      <c r="O34" s="40" t="n">
        <f aca="false">IF($B34="","",COUNTIFS(JAWABAN!$AG$6:$AG$55,"D",SKOR!$AS$6:$AS$55,"&gt;=0"))</f>
        <v>17</v>
      </c>
      <c r="P34" s="39" t="n">
        <f aca="false">IF($B34="","",IFERROR(O34/N_SISWA,0))</f>
        <v>0.548387096774194</v>
      </c>
      <c r="Q34" s="40" t="n">
        <f aca="false">IF($B34="","",COUNTIFS(JAWABAN!$AG$6:$AG$55,"D",SKOR!$AW$6:$AW$55,"&lt;="&amp;N_GRUP))</f>
        <v>8</v>
      </c>
      <c r="R34" s="40" t="n">
        <f aca="false">IF($B34="","",COUNTIFS(JAWABAN!$AG$6:$AG$55,"D",SKOR!$AW$6:$AW$55,"&gt;"&amp;(N_SISWA-N_GRUP)))</f>
        <v>3</v>
      </c>
      <c r="S34" s="16" t="n">
        <f aca="false">IF($B34="","",N_SISWA-(C34+G34+K34+O34))</f>
        <v>0</v>
      </c>
      <c r="T34" s="16" t="n">
        <f aca="false">IF($B34="","",($B34&lt;&gt;"A")*(D34&gt;=PERSEN_PENGECOH)+($B34&lt;&gt;"B")*(H34&gt;=PERSEN_PENGECOH)+($B34&lt;&gt;"C")*(L34&gt;=PERSEN_PENGECOH)+($B34&lt;&gt;"D")*(P34&gt;=PERSEN_PENGECOH))</f>
        <v>3</v>
      </c>
      <c r="U34" s="16" t="str">
        <f aca="false">IF($B34="","",IF(T34=3,"-",TRIM(IF(AND($B34&lt;&gt;"A",D34&lt;PERSEN_PENGECOH),"A ","")&amp;IF(AND($B34&lt;&gt;"B",H34&lt;PERSEN_PENGECOH),"B ","")&amp;IF(AND($B34&lt;&gt;"C",L34&lt;PERSEN_PENGECOH),"C ","")&amp;IF(AND($B34&lt;&gt;"D",P34&lt;PERSEN_PENGECOH),"D ",""))))</f>
        <v>-</v>
      </c>
    </row>
    <row r="35" customFormat="false" ht="15" hidden="false" customHeight="true" outlineLevel="0" collapsed="false">
      <c r="A35" s="16" t="n">
        <v>30</v>
      </c>
      <c r="B35" s="16" t="str">
        <f aca="false">ANALISIS!B35</f>
        <v>D</v>
      </c>
      <c r="C35" s="16" t="n">
        <f aca="false">IF($B35="","",COUNTIFS(JAWABAN!$AH$6:$AH$55,"A",SKOR!$AS$6:$AS$55,"&gt;=0"))</f>
        <v>7</v>
      </c>
      <c r="D35" s="39" t="n">
        <f aca="false">IF($B35="","",IFERROR(C35/N_SISWA,0))</f>
        <v>0.225806451612903</v>
      </c>
      <c r="E35" s="16" t="n">
        <f aca="false">IF($B35="","",COUNTIFS(JAWABAN!$AH$6:$AH$55,"A",SKOR!$AW$6:$AW$55,"&lt;="&amp;N_GRUP))</f>
        <v>0</v>
      </c>
      <c r="F35" s="16" t="n">
        <f aca="false">IF($B35="","",COUNTIFS(JAWABAN!$AH$6:$AH$55,"A",SKOR!$AW$6:$AW$55,"&gt;"&amp;(N_SISWA-N_GRUP)))</f>
        <v>3</v>
      </c>
      <c r="G35" s="16" t="n">
        <f aca="false">IF($B35="","",COUNTIFS(JAWABAN!$AH$6:$AH$55,"B",SKOR!$AS$6:$AS$55,"&gt;=0"))</f>
        <v>0</v>
      </c>
      <c r="H35" s="39" t="n">
        <f aca="false">IF($B35="","",IFERROR(G35/N_SISWA,0))</f>
        <v>0</v>
      </c>
      <c r="I35" s="16" t="n">
        <f aca="false">IF($B35="","",COUNTIFS(JAWABAN!$AH$6:$AH$55,"B",SKOR!$AW$6:$AW$55,"&lt;="&amp;N_GRUP))</f>
        <v>0</v>
      </c>
      <c r="J35" s="16" t="n">
        <f aca="false">IF($B35="","",COUNTIFS(JAWABAN!$AH$6:$AH$55,"B",SKOR!$AW$6:$AW$55,"&gt;"&amp;(N_SISWA-N_GRUP)))</f>
        <v>0</v>
      </c>
      <c r="K35" s="40" t="n">
        <f aca="false">IF($B35="","",COUNTIFS(JAWABAN!$AH$6:$AH$55,"C",SKOR!$AS$6:$AS$55,"&gt;=0"))</f>
        <v>2</v>
      </c>
      <c r="L35" s="39" t="n">
        <f aca="false">IF($B35="","",IFERROR(K35/N_SISWA,0))</f>
        <v>0.0645161290322581</v>
      </c>
      <c r="M35" s="40" t="n">
        <f aca="false">IF($B35="","",COUNTIFS(JAWABAN!$AH$6:$AH$55,"C",SKOR!$AW$6:$AW$55,"&lt;="&amp;N_GRUP))</f>
        <v>0</v>
      </c>
      <c r="N35" s="40" t="n">
        <f aca="false">IF($B35="","",COUNTIFS(JAWABAN!$AH$6:$AH$55,"C",SKOR!$AW$6:$AW$55,"&gt;"&amp;(N_SISWA-N_GRUP)))</f>
        <v>1</v>
      </c>
      <c r="O35" s="40" t="n">
        <f aca="false">IF($B35="","",COUNTIFS(JAWABAN!$AH$6:$AH$55,"D",SKOR!$AS$6:$AS$55,"&gt;=0"))</f>
        <v>20</v>
      </c>
      <c r="P35" s="39" t="n">
        <f aca="false">IF($B35="","",IFERROR(O35/N_SISWA,0))</f>
        <v>0.645161290322581</v>
      </c>
      <c r="Q35" s="40" t="n">
        <f aca="false">IF($B35="","",COUNTIFS(JAWABAN!$AH$6:$AH$55,"D",SKOR!$AW$6:$AW$55,"&lt;="&amp;N_GRUP))</f>
        <v>7</v>
      </c>
      <c r="R35" s="40" t="n">
        <f aca="false">IF($B35="","",COUNTIFS(JAWABAN!$AH$6:$AH$55,"D",SKOR!$AW$6:$AW$55,"&gt;"&amp;(N_SISWA-N_GRUP)))</f>
        <v>4</v>
      </c>
      <c r="S35" s="16" t="n">
        <f aca="false">IF($B35="","",N_SISWA-(C35+G35+K35+O35))</f>
        <v>2</v>
      </c>
      <c r="T35" s="16" t="n">
        <f aca="false">IF($B35="","",($B35&lt;&gt;"A")*(D35&gt;=PERSEN_PENGECOH)+($B35&lt;&gt;"B")*(H35&gt;=PERSEN_PENGECOH)+($B35&lt;&gt;"C")*(L35&gt;=PERSEN_PENGECOH)+($B35&lt;&gt;"D")*(P35&gt;=PERSEN_PENGECOH))</f>
        <v>2</v>
      </c>
      <c r="U35" s="16" t="str">
        <f aca="false">IF($B35="","",IF(T35=3,"-",TRIM(IF(AND($B35&lt;&gt;"A",D35&lt;PERSEN_PENGECOH),"A ","")&amp;IF(AND($B35&lt;&gt;"B",H35&lt;PERSEN_PENGECOH),"B ","")&amp;IF(AND($B35&lt;&gt;"C",L35&lt;PERSEN_PENGECOH),"C ","")&amp;IF(AND($B35&lt;&gt;"D",P35&lt;PERSEN_PENGECOH),"D ",""))))</f>
        <v>B</v>
      </c>
    </row>
    <row r="36" customFormat="false" ht="15" hidden="false" customHeight="true" outlineLevel="0" collapsed="false">
      <c r="A36" s="16" t="n">
        <v>31</v>
      </c>
      <c r="B36" s="16" t="str">
        <f aca="false">ANALISIS!B36</f>
        <v>B</v>
      </c>
      <c r="C36" s="16" t="n">
        <f aca="false">IF($B36="","",COUNTIFS(JAWABAN!$AI$6:$AI$55,"A",SKOR!$AS$6:$AS$55,"&gt;=0"))</f>
        <v>3</v>
      </c>
      <c r="D36" s="39" t="n">
        <f aca="false">IF($B36="","",IFERROR(C36/N_SISWA,0))</f>
        <v>0.0967741935483871</v>
      </c>
      <c r="E36" s="16" t="n">
        <f aca="false">IF($B36="","",COUNTIFS(JAWABAN!$AI$6:$AI$55,"A",SKOR!$AW$6:$AW$55,"&lt;="&amp;N_GRUP))</f>
        <v>1</v>
      </c>
      <c r="F36" s="16" t="n">
        <f aca="false">IF($B36="","",COUNTIFS(JAWABAN!$AI$6:$AI$55,"A",SKOR!$AW$6:$AW$55,"&gt;"&amp;(N_SISWA-N_GRUP)))</f>
        <v>0</v>
      </c>
      <c r="G36" s="16" t="n">
        <f aca="false">IF($B36="","",COUNTIFS(JAWABAN!$AI$6:$AI$55,"B",SKOR!$AS$6:$AS$55,"&gt;=0"))</f>
        <v>20</v>
      </c>
      <c r="H36" s="39" t="n">
        <f aca="false">IF($B36="","",IFERROR(G36/N_SISWA,0))</f>
        <v>0.645161290322581</v>
      </c>
      <c r="I36" s="16" t="n">
        <f aca="false">IF($B36="","",COUNTIFS(JAWABAN!$AI$6:$AI$55,"B",SKOR!$AW$6:$AW$55,"&lt;="&amp;N_GRUP))</f>
        <v>5</v>
      </c>
      <c r="J36" s="16" t="n">
        <f aca="false">IF($B36="","",COUNTIFS(JAWABAN!$AI$6:$AI$55,"B",SKOR!$AW$6:$AW$55,"&gt;"&amp;(N_SISWA-N_GRUP)))</f>
        <v>4</v>
      </c>
      <c r="K36" s="40" t="n">
        <f aca="false">IF($B36="","",COUNTIFS(JAWABAN!$AI$6:$AI$55,"C",SKOR!$AS$6:$AS$55,"&gt;=0"))</f>
        <v>3</v>
      </c>
      <c r="L36" s="39" t="n">
        <f aca="false">IF($B36="","",IFERROR(K36/N_SISWA,0))</f>
        <v>0.0967741935483871</v>
      </c>
      <c r="M36" s="40" t="n">
        <f aca="false">IF($B36="","",COUNTIFS(JAWABAN!$AI$6:$AI$55,"C",SKOR!$AW$6:$AW$55,"&lt;="&amp;N_GRUP))</f>
        <v>1</v>
      </c>
      <c r="N36" s="40" t="n">
        <f aca="false">IF($B36="","",COUNTIFS(JAWABAN!$AI$6:$AI$55,"C",SKOR!$AW$6:$AW$55,"&gt;"&amp;(N_SISWA-N_GRUP)))</f>
        <v>2</v>
      </c>
      <c r="O36" s="40" t="n">
        <f aca="false">IF($B36="","",COUNTIFS(JAWABAN!$AI$6:$AI$55,"D",SKOR!$AS$6:$AS$55,"&gt;=0"))</f>
        <v>3</v>
      </c>
      <c r="P36" s="39" t="n">
        <f aca="false">IF($B36="","",IFERROR(O36/N_SISWA,0))</f>
        <v>0.0967741935483871</v>
      </c>
      <c r="Q36" s="40" t="n">
        <f aca="false">IF($B36="","",COUNTIFS(JAWABAN!$AI$6:$AI$55,"D",SKOR!$AW$6:$AW$55,"&lt;="&amp;N_GRUP))</f>
        <v>0</v>
      </c>
      <c r="R36" s="40" t="n">
        <f aca="false">IF($B36="","",COUNTIFS(JAWABAN!$AI$6:$AI$55,"D",SKOR!$AW$6:$AW$55,"&gt;"&amp;(N_SISWA-N_GRUP)))</f>
        <v>1</v>
      </c>
      <c r="S36" s="16" t="n">
        <f aca="false">IF($B36="","",N_SISWA-(C36+G36+K36+O36))</f>
        <v>2</v>
      </c>
      <c r="T36" s="16" t="n">
        <f aca="false">IF($B36="","",($B36&lt;&gt;"A")*(D36&gt;=PERSEN_PENGECOH)+($B36&lt;&gt;"B")*(H36&gt;=PERSEN_PENGECOH)+($B36&lt;&gt;"C")*(L36&gt;=PERSEN_PENGECOH)+($B36&lt;&gt;"D")*(P36&gt;=PERSEN_PENGECOH))</f>
        <v>3</v>
      </c>
      <c r="U36" s="16" t="str">
        <f aca="false">IF($B36="","",IF(T36=3,"-",TRIM(IF(AND($B36&lt;&gt;"A",D36&lt;PERSEN_PENGECOH),"A ","")&amp;IF(AND($B36&lt;&gt;"B",H36&lt;PERSEN_PENGECOH),"B ","")&amp;IF(AND($B36&lt;&gt;"C",L36&lt;PERSEN_PENGECOH),"C ","")&amp;IF(AND($B36&lt;&gt;"D",P36&lt;PERSEN_PENGECOH),"D ",""))))</f>
        <v>-</v>
      </c>
    </row>
    <row r="37" customFormat="false" ht="15" hidden="false" customHeight="true" outlineLevel="0" collapsed="false">
      <c r="A37" s="16" t="n">
        <v>32</v>
      </c>
      <c r="B37" s="16" t="str">
        <f aca="false">ANALISIS!B37</f>
        <v>B</v>
      </c>
      <c r="C37" s="16" t="n">
        <f aca="false">IF($B37="","",COUNTIFS(JAWABAN!$AJ$6:$AJ$55,"A",SKOR!$AS$6:$AS$55,"&gt;=0"))</f>
        <v>3</v>
      </c>
      <c r="D37" s="39" t="n">
        <f aca="false">IF($B37="","",IFERROR(C37/N_SISWA,0))</f>
        <v>0.0967741935483871</v>
      </c>
      <c r="E37" s="16" t="n">
        <f aca="false">IF($B37="","",COUNTIFS(JAWABAN!$AJ$6:$AJ$55,"A",SKOR!$AW$6:$AW$55,"&lt;="&amp;N_GRUP))</f>
        <v>2</v>
      </c>
      <c r="F37" s="16" t="n">
        <f aca="false">IF($B37="","",COUNTIFS(JAWABAN!$AJ$6:$AJ$55,"A",SKOR!$AW$6:$AW$55,"&gt;"&amp;(N_SISWA-N_GRUP)))</f>
        <v>0</v>
      </c>
      <c r="G37" s="16" t="n">
        <f aca="false">IF($B37="","",COUNTIFS(JAWABAN!$AJ$6:$AJ$55,"B",SKOR!$AS$6:$AS$55,"&gt;=0"))</f>
        <v>21</v>
      </c>
      <c r="H37" s="39" t="n">
        <f aca="false">IF($B37="","",IFERROR(G37/N_SISWA,0))</f>
        <v>0.67741935483871</v>
      </c>
      <c r="I37" s="16" t="n">
        <f aca="false">IF($B37="","",COUNTIFS(JAWABAN!$AJ$6:$AJ$55,"B",SKOR!$AW$6:$AW$55,"&lt;="&amp;N_GRUP))</f>
        <v>6</v>
      </c>
      <c r="J37" s="16" t="n">
        <f aca="false">IF($B37="","",COUNTIFS(JAWABAN!$AJ$6:$AJ$55,"B",SKOR!$AW$6:$AW$55,"&gt;"&amp;(N_SISWA-N_GRUP)))</f>
        <v>4</v>
      </c>
      <c r="K37" s="40" t="n">
        <f aca="false">IF($B37="","",COUNTIFS(JAWABAN!$AJ$6:$AJ$55,"C",SKOR!$AS$6:$AS$55,"&gt;=0"))</f>
        <v>3</v>
      </c>
      <c r="L37" s="39" t="n">
        <f aca="false">IF($B37="","",IFERROR(K37/N_SISWA,0))</f>
        <v>0.0967741935483871</v>
      </c>
      <c r="M37" s="40" t="n">
        <f aca="false">IF($B37="","",COUNTIFS(JAWABAN!$AJ$6:$AJ$55,"C",SKOR!$AW$6:$AW$55,"&lt;="&amp;N_GRUP))</f>
        <v>0</v>
      </c>
      <c r="N37" s="40" t="n">
        <f aca="false">IF($B37="","",COUNTIFS(JAWABAN!$AJ$6:$AJ$55,"C",SKOR!$AW$6:$AW$55,"&gt;"&amp;(N_SISWA-N_GRUP)))</f>
        <v>2</v>
      </c>
      <c r="O37" s="40" t="n">
        <f aca="false">IF($B37="","",COUNTIFS(JAWABAN!$AJ$6:$AJ$55,"D",SKOR!$AS$6:$AS$55,"&gt;=0"))</f>
        <v>4</v>
      </c>
      <c r="P37" s="39" t="n">
        <f aca="false">IF($B37="","",IFERROR(O37/N_SISWA,0))</f>
        <v>0.129032258064516</v>
      </c>
      <c r="Q37" s="40" t="n">
        <f aca="false">IF($B37="","",COUNTIFS(JAWABAN!$AJ$6:$AJ$55,"D",SKOR!$AW$6:$AW$55,"&lt;="&amp;N_GRUP))</f>
        <v>0</v>
      </c>
      <c r="R37" s="40" t="n">
        <f aca="false">IF($B37="","",COUNTIFS(JAWABAN!$AJ$6:$AJ$55,"D",SKOR!$AW$6:$AW$55,"&gt;"&amp;(N_SISWA-N_GRUP)))</f>
        <v>2</v>
      </c>
      <c r="S37" s="16" t="n">
        <f aca="false">IF($B37="","",N_SISWA-(C37+G37+K37+O37))</f>
        <v>0</v>
      </c>
      <c r="T37" s="16" t="n">
        <f aca="false">IF($B37="","",($B37&lt;&gt;"A")*(D37&gt;=PERSEN_PENGECOH)+($B37&lt;&gt;"B")*(H37&gt;=PERSEN_PENGECOH)+($B37&lt;&gt;"C")*(L37&gt;=PERSEN_PENGECOH)+($B37&lt;&gt;"D")*(P37&gt;=PERSEN_PENGECOH))</f>
        <v>3</v>
      </c>
      <c r="U37" s="16" t="str">
        <f aca="false">IF($B37="","",IF(T37=3,"-",TRIM(IF(AND($B37&lt;&gt;"A",D37&lt;PERSEN_PENGECOH),"A ","")&amp;IF(AND($B37&lt;&gt;"B",H37&lt;PERSEN_PENGECOH),"B ","")&amp;IF(AND($B37&lt;&gt;"C",L37&lt;PERSEN_PENGECOH),"C ","")&amp;IF(AND($B37&lt;&gt;"D",P37&lt;PERSEN_PENGECOH),"D ",""))))</f>
        <v>-</v>
      </c>
    </row>
    <row r="38" customFormat="false" ht="15" hidden="false" customHeight="true" outlineLevel="0" collapsed="false">
      <c r="A38" s="16" t="n">
        <v>33</v>
      </c>
      <c r="B38" s="16" t="str">
        <f aca="false">ANALISIS!B38</f>
        <v>D</v>
      </c>
      <c r="C38" s="16" t="n">
        <f aca="false">IF($B38="","",COUNTIFS(JAWABAN!$AK$6:$AK$55,"A",SKOR!$AS$6:$AS$55,"&gt;=0"))</f>
        <v>3</v>
      </c>
      <c r="D38" s="39" t="n">
        <f aca="false">IF($B38="","",IFERROR(C38/N_SISWA,0))</f>
        <v>0.0967741935483871</v>
      </c>
      <c r="E38" s="16" t="n">
        <f aca="false">IF($B38="","",COUNTIFS(JAWABAN!$AK$6:$AK$55,"A",SKOR!$AW$6:$AW$55,"&lt;="&amp;N_GRUP))</f>
        <v>0</v>
      </c>
      <c r="F38" s="16" t="n">
        <f aca="false">IF($B38="","",COUNTIFS(JAWABAN!$AK$6:$AK$55,"A",SKOR!$AW$6:$AW$55,"&gt;"&amp;(N_SISWA-N_GRUP)))</f>
        <v>1</v>
      </c>
      <c r="G38" s="16" t="n">
        <f aca="false">IF($B38="","",COUNTIFS(JAWABAN!$AK$6:$AK$55,"B",SKOR!$AS$6:$AS$55,"&gt;=0"))</f>
        <v>3</v>
      </c>
      <c r="H38" s="39" t="n">
        <f aca="false">IF($B38="","",IFERROR(G38/N_SISWA,0))</f>
        <v>0.0967741935483871</v>
      </c>
      <c r="I38" s="16" t="n">
        <f aca="false">IF($B38="","",COUNTIFS(JAWABAN!$AK$6:$AK$55,"B",SKOR!$AW$6:$AW$55,"&lt;="&amp;N_GRUP))</f>
        <v>2</v>
      </c>
      <c r="J38" s="16" t="n">
        <f aca="false">IF($B38="","",COUNTIFS(JAWABAN!$AK$6:$AK$55,"B",SKOR!$AW$6:$AW$55,"&gt;"&amp;(N_SISWA-N_GRUP)))</f>
        <v>0</v>
      </c>
      <c r="K38" s="40" t="n">
        <f aca="false">IF($B38="","",COUNTIFS(JAWABAN!$AK$6:$AK$55,"C",SKOR!$AS$6:$AS$55,"&gt;=0"))</f>
        <v>5</v>
      </c>
      <c r="L38" s="39" t="n">
        <f aca="false">IF($B38="","",IFERROR(K38/N_SISWA,0))</f>
        <v>0.161290322580645</v>
      </c>
      <c r="M38" s="40" t="n">
        <f aca="false">IF($B38="","",COUNTIFS(JAWABAN!$AK$6:$AK$55,"C",SKOR!$AW$6:$AW$55,"&lt;="&amp;N_GRUP))</f>
        <v>1</v>
      </c>
      <c r="N38" s="40" t="n">
        <f aca="false">IF($B38="","",COUNTIFS(JAWABAN!$AK$6:$AK$55,"C",SKOR!$AW$6:$AW$55,"&gt;"&amp;(N_SISWA-N_GRUP)))</f>
        <v>2</v>
      </c>
      <c r="O38" s="40" t="n">
        <f aca="false">IF($B38="","",COUNTIFS(JAWABAN!$AK$6:$AK$55,"D",SKOR!$AS$6:$AS$55,"&gt;=0"))</f>
        <v>18</v>
      </c>
      <c r="P38" s="39" t="n">
        <f aca="false">IF($B38="","",IFERROR(O38/N_SISWA,0))</f>
        <v>0.580645161290323</v>
      </c>
      <c r="Q38" s="40" t="n">
        <f aca="false">IF($B38="","",COUNTIFS(JAWABAN!$AK$6:$AK$55,"D",SKOR!$AW$6:$AW$55,"&lt;="&amp;N_GRUP))</f>
        <v>5</v>
      </c>
      <c r="R38" s="40" t="n">
        <f aca="false">IF($B38="","",COUNTIFS(JAWABAN!$AK$6:$AK$55,"D",SKOR!$AW$6:$AW$55,"&gt;"&amp;(N_SISWA-N_GRUP)))</f>
        <v>3</v>
      </c>
      <c r="S38" s="16" t="n">
        <f aca="false">IF($B38="","",N_SISWA-(C38+G38+K38+O38))</f>
        <v>2</v>
      </c>
      <c r="T38" s="16" t="n">
        <f aca="false">IF($B38="","",($B38&lt;&gt;"A")*(D38&gt;=PERSEN_PENGECOH)+($B38&lt;&gt;"B")*(H38&gt;=PERSEN_PENGECOH)+($B38&lt;&gt;"C")*(L38&gt;=PERSEN_PENGECOH)+($B38&lt;&gt;"D")*(P38&gt;=PERSEN_PENGECOH))</f>
        <v>3</v>
      </c>
      <c r="U38" s="16" t="str">
        <f aca="false">IF($B38="","",IF(T38=3,"-",TRIM(IF(AND($B38&lt;&gt;"A",D38&lt;PERSEN_PENGECOH),"A ","")&amp;IF(AND($B38&lt;&gt;"B",H38&lt;PERSEN_PENGECOH),"B ","")&amp;IF(AND($B38&lt;&gt;"C",L38&lt;PERSEN_PENGECOH),"C ","")&amp;IF(AND($B38&lt;&gt;"D",P38&lt;PERSEN_PENGECOH),"D ",""))))</f>
        <v>-</v>
      </c>
    </row>
    <row r="39" customFormat="false" ht="15" hidden="false" customHeight="true" outlineLevel="0" collapsed="false">
      <c r="A39" s="16" t="n">
        <v>34</v>
      </c>
      <c r="B39" s="16" t="str">
        <f aca="false">ANALISIS!B39</f>
        <v>B</v>
      </c>
      <c r="C39" s="16" t="n">
        <f aca="false">IF($B39="","",COUNTIFS(JAWABAN!$AL$6:$AL$55,"A",SKOR!$AS$6:$AS$55,"&gt;=0"))</f>
        <v>2</v>
      </c>
      <c r="D39" s="39" t="n">
        <f aca="false">IF($B39="","",IFERROR(C39/N_SISWA,0))</f>
        <v>0.0645161290322581</v>
      </c>
      <c r="E39" s="16" t="n">
        <f aca="false">IF($B39="","",COUNTIFS(JAWABAN!$AL$6:$AL$55,"A",SKOR!$AW$6:$AW$55,"&lt;="&amp;N_GRUP))</f>
        <v>0</v>
      </c>
      <c r="F39" s="16" t="n">
        <f aca="false">IF($B39="","",COUNTIFS(JAWABAN!$AL$6:$AL$55,"A",SKOR!$AW$6:$AW$55,"&gt;"&amp;(N_SISWA-N_GRUP)))</f>
        <v>2</v>
      </c>
      <c r="G39" s="16" t="n">
        <f aca="false">IF($B39="","",COUNTIFS(JAWABAN!$AL$6:$AL$55,"B",SKOR!$AS$6:$AS$55,"&gt;=0"))</f>
        <v>20</v>
      </c>
      <c r="H39" s="39" t="n">
        <f aca="false">IF($B39="","",IFERROR(G39/N_SISWA,0))</f>
        <v>0.645161290322581</v>
      </c>
      <c r="I39" s="16" t="n">
        <f aca="false">IF($B39="","",COUNTIFS(JAWABAN!$AL$6:$AL$55,"B",SKOR!$AW$6:$AW$55,"&lt;="&amp;N_GRUP))</f>
        <v>6</v>
      </c>
      <c r="J39" s="16" t="n">
        <f aca="false">IF($B39="","",COUNTIFS(JAWABAN!$AL$6:$AL$55,"B",SKOR!$AW$6:$AW$55,"&gt;"&amp;(N_SISWA-N_GRUP)))</f>
        <v>2</v>
      </c>
      <c r="K39" s="40" t="n">
        <f aca="false">IF($B39="","",COUNTIFS(JAWABAN!$AL$6:$AL$55,"C",SKOR!$AS$6:$AS$55,"&gt;=0"))</f>
        <v>3</v>
      </c>
      <c r="L39" s="39" t="n">
        <f aca="false">IF($B39="","",IFERROR(K39/N_SISWA,0))</f>
        <v>0.0967741935483871</v>
      </c>
      <c r="M39" s="40" t="n">
        <f aca="false">IF($B39="","",COUNTIFS(JAWABAN!$AL$6:$AL$55,"C",SKOR!$AW$6:$AW$55,"&lt;="&amp;N_GRUP))</f>
        <v>0</v>
      </c>
      <c r="N39" s="40" t="n">
        <f aca="false">IF($B39="","",COUNTIFS(JAWABAN!$AL$6:$AL$55,"C",SKOR!$AW$6:$AW$55,"&gt;"&amp;(N_SISWA-N_GRUP)))</f>
        <v>1</v>
      </c>
      <c r="O39" s="40" t="n">
        <f aca="false">IF($B39="","",COUNTIFS(JAWABAN!$AL$6:$AL$55,"D",SKOR!$AS$6:$AS$55,"&gt;=0"))</f>
        <v>6</v>
      </c>
      <c r="P39" s="39" t="n">
        <f aca="false">IF($B39="","",IFERROR(O39/N_SISWA,0))</f>
        <v>0.193548387096774</v>
      </c>
      <c r="Q39" s="40" t="n">
        <f aca="false">IF($B39="","",COUNTIFS(JAWABAN!$AL$6:$AL$55,"D",SKOR!$AW$6:$AW$55,"&lt;="&amp;N_GRUP))</f>
        <v>2</v>
      </c>
      <c r="R39" s="40" t="n">
        <f aca="false">IF($B39="","",COUNTIFS(JAWABAN!$AL$6:$AL$55,"D",SKOR!$AW$6:$AW$55,"&gt;"&amp;(N_SISWA-N_GRUP)))</f>
        <v>3</v>
      </c>
      <c r="S39" s="16" t="n">
        <f aca="false">IF($B39="","",N_SISWA-(C39+G39+K39+O39))</f>
        <v>0</v>
      </c>
      <c r="T39" s="16" t="n">
        <f aca="false">IF($B39="","",($B39&lt;&gt;"A")*(D39&gt;=PERSEN_PENGECOH)+($B39&lt;&gt;"B")*(H39&gt;=PERSEN_PENGECOH)+($B39&lt;&gt;"C")*(L39&gt;=PERSEN_PENGECOH)+($B39&lt;&gt;"D")*(P39&gt;=PERSEN_PENGECOH))</f>
        <v>3</v>
      </c>
      <c r="U39" s="16" t="str">
        <f aca="false">IF($B39="","",IF(T39=3,"-",TRIM(IF(AND($B39&lt;&gt;"A",D39&lt;PERSEN_PENGECOH),"A ","")&amp;IF(AND($B39&lt;&gt;"B",H39&lt;PERSEN_PENGECOH),"B ","")&amp;IF(AND($B39&lt;&gt;"C",L39&lt;PERSEN_PENGECOH),"C ","")&amp;IF(AND($B39&lt;&gt;"D",P39&lt;PERSEN_PENGECOH),"D ",""))))</f>
        <v>-</v>
      </c>
    </row>
    <row r="40" customFormat="false" ht="15" hidden="false" customHeight="true" outlineLevel="0" collapsed="false">
      <c r="A40" s="16" t="n">
        <v>35</v>
      </c>
      <c r="B40" s="16" t="str">
        <f aca="false">ANALISIS!B40</f>
        <v>A</v>
      </c>
      <c r="C40" s="16" t="n">
        <f aca="false">IF($B40="","",COUNTIFS(JAWABAN!$AM$6:$AM$55,"A",SKOR!$AS$6:$AS$55,"&gt;=0"))</f>
        <v>20</v>
      </c>
      <c r="D40" s="39" t="n">
        <f aca="false">IF($B40="","",IFERROR(C40/N_SISWA,0))</f>
        <v>0.645161290322581</v>
      </c>
      <c r="E40" s="16" t="n">
        <f aca="false">IF($B40="","",COUNTIFS(JAWABAN!$AM$6:$AM$55,"A",SKOR!$AW$6:$AW$55,"&lt;="&amp;N_GRUP))</f>
        <v>8</v>
      </c>
      <c r="F40" s="16" t="n">
        <f aca="false">IF($B40="","",COUNTIFS(JAWABAN!$AM$6:$AM$55,"A",SKOR!$AW$6:$AW$55,"&gt;"&amp;(N_SISWA-N_GRUP)))</f>
        <v>3</v>
      </c>
      <c r="G40" s="16" t="n">
        <f aca="false">IF($B40="","",COUNTIFS(JAWABAN!$AM$6:$AM$55,"B",SKOR!$AS$6:$AS$55,"&gt;=0"))</f>
        <v>3</v>
      </c>
      <c r="H40" s="39" t="n">
        <f aca="false">IF($B40="","",IFERROR(G40/N_SISWA,0))</f>
        <v>0.0967741935483871</v>
      </c>
      <c r="I40" s="16" t="n">
        <f aca="false">IF($B40="","",COUNTIFS(JAWABAN!$AM$6:$AM$55,"B",SKOR!$AW$6:$AW$55,"&lt;="&amp;N_GRUP))</f>
        <v>0</v>
      </c>
      <c r="J40" s="16" t="n">
        <f aca="false">IF($B40="","",COUNTIFS(JAWABAN!$AM$6:$AM$55,"B",SKOR!$AW$6:$AW$55,"&gt;"&amp;(N_SISWA-N_GRUP)))</f>
        <v>2</v>
      </c>
      <c r="K40" s="40" t="n">
        <f aca="false">IF($B40="","",COUNTIFS(JAWABAN!$AM$6:$AM$55,"C",SKOR!$AS$6:$AS$55,"&gt;=0"))</f>
        <v>3</v>
      </c>
      <c r="L40" s="39" t="n">
        <f aca="false">IF($B40="","",IFERROR(K40/N_SISWA,0))</f>
        <v>0.0967741935483871</v>
      </c>
      <c r="M40" s="40" t="n">
        <f aca="false">IF($B40="","",COUNTIFS(JAWABAN!$AM$6:$AM$55,"C",SKOR!$AW$6:$AW$55,"&lt;="&amp;N_GRUP))</f>
        <v>0</v>
      </c>
      <c r="N40" s="40" t="n">
        <f aca="false">IF($B40="","",COUNTIFS(JAWABAN!$AM$6:$AM$55,"C",SKOR!$AW$6:$AW$55,"&gt;"&amp;(N_SISWA-N_GRUP)))</f>
        <v>1</v>
      </c>
      <c r="O40" s="40" t="n">
        <f aca="false">IF($B40="","",COUNTIFS(JAWABAN!$AM$6:$AM$55,"D",SKOR!$AS$6:$AS$55,"&gt;=0"))</f>
        <v>4</v>
      </c>
      <c r="P40" s="39" t="n">
        <f aca="false">IF($B40="","",IFERROR(O40/N_SISWA,0))</f>
        <v>0.129032258064516</v>
      </c>
      <c r="Q40" s="40" t="n">
        <f aca="false">IF($B40="","",COUNTIFS(JAWABAN!$AM$6:$AM$55,"D",SKOR!$AW$6:$AW$55,"&lt;="&amp;N_GRUP))</f>
        <v>0</v>
      </c>
      <c r="R40" s="40" t="n">
        <f aca="false">IF($B40="","",COUNTIFS(JAWABAN!$AM$6:$AM$55,"D",SKOR!$AW$6:$AW$55,"&gt;"&amp;(N_SISWA-N_GRUP)))</f>
        <v>2</v>
      </c>
      <c r="S40" s="16" t="n">
        <f aca="false">IF($B40="","",N_SISWA-(C40+G40+K40+O40))</f>
        <v>1</v>
      </c>
      <c r="T40" s="16" t="n">
        <f aca="false">IF($B40="","",($B40&lt;&gt;"A")*(D40&gt;=PERSEN_PENGECOH)+($B40&lt;&gt;"B")*(H40&gt;=PERSEN_PENGECOH)+($B40&lt;&gt;"C")*(L40&gt;=PERSEN_PENGECOH)+($B40&lt;&gt;"D")*(P40&gt;=PERSEN_PENGECOH))</f>
        <v>3</v>
      </c>
      <c r="U40" s="16" t="str">
        <f aca="false">IF($B40="","",IF(T40=3,"-",TRIM(IF(AND($B40&lt;&gt;"A",D40&lt;PERSEN_PENGECOH),"A ","")&amp;IF(AND($B40&lt;&gt;"B",H40&lt;PERSEN_PENGECOH),"B ","")&amp;IF(AND($B40&lt;&gt;"C",L40&lt;PERSEN_PENGECOH),"C ","")&amp;IF(AND($B40&lt;&gt;"D",P40&lt;PERSEN_PENGECOH),"D ",""))))</f>
        <v>-</v>
      </c>
    </row>
    <row r="41" customFormat="false" ht="15" hidden="false" customHeight="true" outlineLevel="0" collapsed="false">
      <c r="A41" s="16" t="n">
        <v>36</v>
      </c>
      <c r="B41" s="16" t="str">
        <f aca="false">ANALISIS!B41</f>
        <v>B</v>
      </c>
      <c r="C41" s="16" t="n">
        <f aca="false">IF($B41="","",COUNTIFS(JAWABAN!$AN$6:$AN$55,"A",SKOR!$AS$6:$AS$55,"&gt;=0"))</f>
        <v>5</v>
      </c>
      <c r="D41" s="39" t="n">
        <f aca="false">IF($B41="","",IFERROR(C41/N_SISWA,0))</f>
        <v>0.161290322580645</v>
      </c>
      <c r="E41" s="16" t="n">
        <f aca="false">IF($B41="","",COUNTIFS(JAWABAN!$AN$6:$AN$55,"A",SKOR!$AW$6:$AW$55,"&lt;="&amp;N_GRUP))</f>
        <v>1</v>
      </c>
      <c r="F41" s="16" t="n">
        <f aca="false">IF($B41="","",COUNTIFS(JAWABAN!$AN$6:$AN$55,"A",SKOR!$AW$6:$AW$55,"&gt;"&amp;(N_SISWA-N_GRUP)))</f>
        <v>1</v>
      </c>
      <c r="G41" s="16" t="n">
        <f aca="false">IF($B41="","",COUNTIFS(JAWABAN!$AN$6:$AN$55,"B",SKOR!$AS$6:$AS$55,"&gt;=0"))</f>
        <v>19</v>
      </c>
      <c r="H41" s="39" t="n">
        <f aca="false">IF($B41="","",IFERROR(G41/N_SISWA,0))</f>
        <v>0.612903225806452</v>
      </c>
      <c r="I41" s="16" t="n">
        <f aca="false">IF($B41="","",COUNTIFS(JAWABAN!$AN$6:$AN$55,"B",SKOR!$AW$6:$AW$55,"&lt;="&amp;N_GRUP))</f>
        <v>7</v>
      </c>
      <c r="J41" s="16" t="n">
        <f aca="false">IF($B41="","",COUNTIFS(JAWABAN!$AN$6:$AN$55,"B",SKOR!$AW$6:$AW$55,"&gt;"&amp;(N_SISWA-N_GRUP)))</f>
        <v>4</v>
      </c>
      <c r="K41" s="40" t="n">
        <f aca="false">IF($B41="","",COUNTIFS(JAWABAN!$AN$6:$AN$55,"C",SKOR!$AS$6:$AS$55,"&gt;=0"))</f>
        <v>2</v>
      </c>
      <c r="L41" s="39" t="n">
        <f aca="false">IF($B41="","",IFERROR(K41/N_SISWA,0))</f>
        <v>0.0645161290322581</v>
      </c>
      <c r="M41" s="40" t="n">
        <f aca="false">IF($B41="","",COUNTIFS(JAWABAN!$AN$6:$AN$55,"C",SKOR!$AW$6:$AW$55,"&lt;="&amp;N_GRUP))</f>
        <v>0</v>
      </c>
      <c r="N41" s="40" t="n">
        <f aca="false">IF($B41="","",COUNTIFS(JAWABAN!$AN$6:$AN$55,"C",SKOR!$AW$6:$AW$55,"&gt;"&amp;(N_SISWA-N_GRUP)))</f>
        <v>0</v>
      </c>
      <c r="O41" s="40" t="n">
        <f aca="false">IF($B41="","",COUNTIFS(JAWABAN!$AN$6:$AN$55,"D",SKOR!$AS$6:$AS$55,"&gt;=0"))</f>
        <v>5</v>
      </c>
      <c r="P41" s="39" t="n">
        <f aca="false">IF($B41="","",IFERROR(O41/N_SISWA,0))</f>
        <v>0.161290322580645</v>
      </c>
      <c r="Q41" s="40" t="n">
        <f aca="false">IF($B41="","",COUNTIFS(JAWABAN!$AN$6:$AN$55,"D",SKOR!$AW$6:$AW$55,"&lt;="&amp;N_GRUP))</f>
        <v>0</v>
      </c>
      <c r="R41" s="40" t="n">
        <f aca="false">IF($B41="","",COUNTIFS(JAWABAN!$AN$6:$AN$55,"D",SKOR!$AW$6:$AW$55,"&gt;"&amp;(N_SISWA-N_GRUP)))</f>
        <v>3</v>
      </c>
      <c r="S41" s="16" t="n">
        <f aca="false">IF($B41="","",N_SISWA-(C41+G41+K41+O41))</f>
        <v>0</v>
      </c>
      <c r="T41" s="16" t="n">
        <f aca="false">IF($B41="","",($B41&lt;&gt;"A")*(D41&gt;=PERSEN_PENGECOH)+($B41&lt;&gt;"B")*(H41&gt;=PERSEN_PENGECOH)+($B41&lt;&gt;"C")*(L41&gt;=PERSEN_PENGECOH)+($B41&lt;&gt;"D")*(P41&gt;=PERSEN_PENGECOH))</f>
        <v>3</v>
      </c>
      <c r="U41" s="16" t="str">
        <f aca="false">IF($B41="","",IF(T41=3,"-",TRIM(IF(AND($B41&lt;&gt;"A",D41&lt;PERSEN_PENGECOH),"A ","")&amp;IF(AND($B41&lt;&gt;"B",H41&lt;PERSEN_PENGECOH),"B ","")&amp;IF(AND($B41&lt;&gt;"C",L41&lt;PERSEN_PENGECOH),"C ","")&amp;IF(AND($B41&lt;&gt;"D",P41&lt;PERSEN_PENGECOH),"D ",""))))</f>
        <v>-</v>
      </c>
    </row>
    <row r="42" customFormat="false" ht="15" hidden="false" customHeight="true" outlineLevel="0" collapsed="false">
      <c r="A42" s="16" t="n">
        <v>37</v>
      </c>
      <c r="B42" s="16" t="str">
        <f aca="false">ANALISIS!B42</f>
        <v>B</v>
      </c>
      <c r="C42" s="16" t="n">
        <f aca="false">IF($B42="","",COUNTIFS(JAWABAN!$AO$6:$AO$55,"A",SKOR!$AS$6:$AS$55,"&gt;=0"))</f>
        <v>6</v>
      </c>
      <c r="D42" s="39" t="n">
        <f aca="false">IF($B42="","",IFERROR(C42/N_SISWA,0))</f>
        <v>0.193548387096774</v>
      </c>
      <c r="E42" s="16" t="n">
        <f aca="false">IF($B42="","",COUNTIFS(JAWABAN!$AO$6:$AO$55,"A",SKOR!$AW$6:$AW$55,"&lt;="&amp;N_GRUP))</f>
        <v>0</v>
      </c>
      <c r="F42" s="16" t="n">
        <f aca="false">IF($B42="","",COUNTIFS(JAWABAN!$AO$6:$AO$55,"A",SKOR!$AW$6:$AW$55,"&gt;"&amp;(N_SISWA-N_GRUP)))</f>
        <v>0</v>
      </c>
      <c r="G42" s="16" t="n">
        <f aca="false">IF($B42="","",COUNTIFS(JAWABAN!$AO$6:$AO$55,"B",SKOR!$AS$6:$AS$55,"&gt;=0"))</f>
        <v>16</v>
      </c>
      <c r="H42" s="39" t="n">
        <f aca="false">IF($B42="","",IFERROR(G42/N_SISWA,0))</f>
        <v>0.516129032258065</v>
      </c>
      <c r="I42" s="16" t="n">
        <f aca="false">IF($B42="","",COUNTIFS(JAWABAN!$AO$6:$AO$55,"B",SKOR!$AW$6:$AW$55,"&lt;="&amp;N_GRUP))</f>
        <v>8</v>
      </c>
      <c r="J42" s="16" t="n">
        <f aca="false">IF($B42="","",COUNTIFS(JAWABAN!$AO$6:$AO$55,"B",SKOR!$AW$6:$AW$55,"&gt;"&amp;(N_SISWA-N_GRUP)))</f>
        <v>4</v>
      </c>
      <c r="K42" s="40" t="n">
        <f aca="false">IF($B42="","",COUNTIFS(JAWABAN!$AO$6:$AO$55,"C",SKOR!$AS$6:$AS$55,"&gt;=0"))</f>
        <v>6</v>
      </c>
      <c r="L42" s="39" t="n">
        <f aca="false">IF($B42="","",IFERROR(K42/N_SISWA,0))</f>
        <v>0.193548387096774</v>
      </c>
      <c r="M42" s="40" t="n">
        <f aca="false">IF($B42="","",COUNTIFS(JAWABAN!$AO$6:$AO$55,"C",SKOR!$AW$6:$AW$55,"&lt;="&amp;N_GRUP))</f>
        <v>0</v>
      </c>
      <c r="N42" s="40" t="n">
        <f aca="false">IF($B42="","",COUNTIFS(JAWABAN!$AO$6:$AO$55,"C",SKOR!$AW$6:$AW$55,"&gt;"&amp;(N_SISWA-N_GRUP)))</f>
        <v>3</v>
      </c>
      <c r="O42" s="40" t="n">
        <f aca="false">IF($B42="","",COUNTIFS(JAWABAN!$AO$6:$AO$55,"D",SKOR!$AS$6:$AS$55,"&gt;=0"))</f>
        <v>3</v>
      </c>
      <c r="P42" s="39" t="n">
        <f aca="false">IF($B42="","",IFERROR(O42/N_SISWA,0))</f>
        <v>0.0967741935483871</v>
      </c>
      <c r="Q42" s="40" t="n">
        <f aca="false">IF($B42="","",COUNTIFS(JAWABAN!$AO$6:$AO$55,"D",SKOR!$AW$6:$AW$55,"&lt;="&amp;N_GRUP))</f>
        <v>0</v>
      </c>
      <c r="R42" s="40" t="n">
        <f aca="false">IF($B42="","",COUNTIFS(JAWABAN!$AO$6:$AO$55,"D",SKOR!$AW$6:$AW$55,"&gt;"&amp;(N_SISWA-N_GRUP)))</f>
        <v>1</v>
      </c>
      <c r="S42" s="16" t="n">
        <f aca="false">IF($B42="","",N_SISWA-(C42+G42+K42+O42))</f>
        <v>0</v>
      </c>
      <c r="T42" s="16" t="n">
        <f aca="false">IF($B42="","",($B42&lt;&gt;"A")*(D42&gt;=PERSEN_PENGECOH)+($B42&lt;&gt;"B")*(H42&gt;=PERSEN_PENGECOH)+($B42&lt;&gt;"C")*(L42&gt;=PERSEN_PENGECOH)+($B42&lt;&gt;"D")*(P42&gt;=PERSEN_PENGECOH))</f>
        <v>3</v>
      </c>
      <c r="U42" s="16" t="str">
        <f aca="false">IF($B42="","",IF(T42=3,"-",TRIM(IF(AND($B42&lt;&gt;"A",D42&lt;PERSEN_PENGECOH),"A ","")&amp;IF(AND($B42&lt;&gt;"B",H42&lt;PERSEN_PENGECOH),"B ","")&amp;IF(AND($B42&lt;&gt;"C",L42&lt;PERSEN_PENGECOH),"C ","")&amp;IF(AND($B42&lt;&gt;"D",P42&lt;PERSEN_PENGECOH),"D ",""))))</f>
        <v>-</v>
      </c>
    </row>
    <row r="43" customFormat="false" ht="15" hidden="false" customHeight="true" outlineLevel="0" collapsed="false">
      <c r="A43" s="16" t="n">
        <v>38</v>
      </c>
      <c r="B43" s="16" t="str">
        <f aca="false">ANALISIS!B43</f>
        <v>B</v>
      </c>
      <c r="C43" s="16" t="n">
        <f aca="false">IF($B43="","",COUNTIFS(JAWABAN!$AP$6:$AP$55,"A",SKOR!$AS$6:$AS$55,"&gt;=0"))</f>
        <v>2</v>
      </c>
      <c r="D43" s="39" t="n">
        <f aca="false">IF($B43="","",IFERROR(C43/N_SISWA,0))</f>
        <v>0.0645161290322581</v>
      </c>
      <c r="E43" s="16" t="n">
        <f aca="false">IF($B43="","",COUNTIFS(JAWABAN!$AP$6:$AP$55,"A",SKOR!$AW$6:$AW$55,"&lt;="&amp;N_GRUP))</f>
        <v>0</v>
      </c>
      <c r="F43" s="16" t="n">
        <f aca="false">IF($B43="","",COUNTIFS(JAWABAN!$AP$6:$AP$55,"A",SKOR!$AW$6:$AW$55,"&gt;"&amp;(N_SISWA-N_GRUP)))</f>
        <v>1</v>
      </c>
      <c r="G43" s="16" t="n">
        <f aca="false">IF($B43="","",COUNTIFS(JAWABAN!$AP$6:$AP$55,"B",SKOR!$AS$6:$AS$55,"&gt;=0"))</f>
        <v>19</v>
      </c>
      <c r="H43" s="39" t="n">
        <f aca="false">IF($B43="","",IFERROR(G43/N_SISWA,0))</f>
        <v>0.612903225806452</v>
      </c>
      <c r="I43" s="16" t="n">
        <f aca="false">IF($B43="","",COUNTIFS(JAWABAN!$AP$6:$AP$55,"B",SKOR!$AW$6:$AW$55,"&lt;="&amp;N_GRUP))</f>
        <v>6</v>
      </c>
      <c r="J43" s="16" t="n">
        <f aca="false">IF($B43="","",COUNTIFS(JAWABAN!$AP$6:$AP$55,"B",SKOR!$AW$6:$AW$55,"&gt;"&amp;(N_SISWA-N_GRUP)))</f>
        <v>3</v>
      </c>
      <c r="K43" s="40" t="n">
        <f aca="false">IF($B43="","",COUNTIFS(JAWABAN!$AP$6:$AP$55,"C",SKOR!$AS$6:$AS$55,"&gt;=0"))</f>
        <v>5</v>
      </c>
      <c r="L43" s="39" t="n">
        <f aca="false">IF($B43="","",IFERROR(K43/N_SISWA,0))</f>
        <v>0.161290322580645</v>
      </c>
      <c r="M43" s="40" t="n">
        <f aca="false">IF($B43="","",COUNTIFS(JAWABAN!$AP$6:$AP$55,"C",SKOR!$AW$6:$AW$55,"&lt;="&amp;N_GRUP))</f>
        <v>0</v>
      </c>
      <c r="N43" s="40" t="n">
        <f aca="false">IF($B43="","",COUNTIFS(JAWABAN!$AP$6:$AP$55,"C",SKOR!$AW$6:$AW$55,"&gt;"&amp;(N_SISWA-N_GRUP)))</f>
        <v>2</v>
      </c>
      <c r="O43" s="40" t="n">
        <f aca="false">IF($B43="","",COUNTIFS(JAWABAN!$AP$6:$AP$55,"D",SKOR!$AS$6:$AS$55,"&gt;=0"))</f>
        <v>4</v>
      </c>
      <c r="P43" s="39" t="n">
        <f aca="false">IF($B43="","",IFERROR(O43/N_SISWA,0))</f>
        <v>0.129032258064516</v>
      </c>
      <c r="Q43" s="40" t="n">
        <f aca="false">IF($B43="","",COUNTIFS(JAWABAN!$AP$6:$AP$55,"D",SKOR!$AW$6:$AW$55,"&lt;="&amp;N_GRUP))</f>
        <v>2</v>
      </c>
      <c r="R43" s="40" t="n">
        <f aca="false">IF($B43="","",COUNTIFS(JAWABAN!$AP$6:$AP$55,"D",SKOR!$AW$6:$AW$55,"&gt;"&amp;(N_SISWA-N_GRUP)))</f>
        <v>1</v>
      </c>
      <c r="S43" s="16" t="n">
        <f aca="false">IF($B43="","",N_SISWA-(C43+G43+K43+O43))</f>
        <v>1</v>
      </c>
      <c r="T43" s="16" t="n">
        <f aca="false">IF($B43="","",($B43&lt;&gt;"A")*(D43&gt;=PERSEN_PENGECOH)+($B43&lt;&gt;"B")*(H43&gt;=PERSEN_PENGECOH)+($B43&lt;&gt;"C")*(L43&gt;=PERSEN_PENGECOH)+($B43&lt;&gt;"D")*(P43&gt;=PERSEN_PENGECOH))</f>
        <v>3</v>
      </c>
      <c r="U43" s="16" t="str">
        <f aca="false">IF($B43="","",IF(T43=3,"-",TRIM(IF(AND($B43&lt;&gt;"A",D43&lt;PERSEN_PENGECOH),"A ","")&amp;IF(AND($B43&lt;&gt;"B",H43&lt;PERSEN_PENGECOH),"B ","")&amp;IF(AND($B43&lt;&gt;"C",L43&lt;PERSEN_PENGECOH),"C ","")&amp;IF(AND($B43&lt;&gt;"D",P43&lt;PERSEN_PENGECOH),"D ",""))))</f>
        <v>-</v>
      </c>
    </row>
    <row r="44" customFormat="false" ht="15" hidden="false" customHeight="true" outlineLevel="0" collapsed="false">
      <c r="A44" s="16" t="n">
        <v>39</v>
      </c>
      <c r="B44" s="16" t="str">
        <f aca="false">ANALISIS!B44</f>
        <v>D</v>
      </c>
      <c r="C44" s="16" t="n">
        <f aca="false">IF($B44="","",COUNTIFS(JAWABAN!$AQ$6:$AQ$55,"A",SKOR!$AS$6:$AS$55,"&gt;=0"))</f>
        <v>4</v>
      </c>
      <c r="D44" s="39" t="n">
        <f aca="false">IF($B44="","",IFERROR(C44/N_SISWA,0))</f>
        <v>0.129032258064516</v>
      </c>
      <c r="E44" s="16" t="n">
        <f aca="false">IF($B44="","",COUNTIFS(JAWABAN!$AQ$6:$AQ$55,"A",SKOR!$AW$6:$AW$55,"&lt;="&amp;N_GRUP))</f>
        <v>1</v>
      </c>
      <c r="F44" s="16" t="n">
        <f aca="false">IF($B44="","",COUNTIFS(JAWABAN!$AQ$6:$AQ$55,"A",SKOR!$AW$6:$AW$55,"&gt;"&amp;(N_SISWA-N_GRUP)))</f>
        <v>2</v>
      </c>
      <c r="G44" s="16" t="n">
        <f aca="false">IF($B44="","",COUNTIFS(JAWABAN!$AQ$6:$AQ$55,"B",SKOR!$AS$6:$AS$55,"&gt;=0"))</f>
        <v>5</v>
      </c>
      <c r="H44" s="39" t="n">
        <f aca="false">IF($B44="","",IFERROR(G44/N_SISWA,0))</f>
        <v>0.161290322580645</v>
      </c>
      <c r="I44" s="16" t="n">
        <f aca="false">IF($B44="","",COUNTIFS(JAWABAN!$AQ$6:$AQ$55,"B",SKOR!$AW$6:$AW$55,"&lt;="&amp;N_GRUP))</f>
        <v>1</v>
      </c>
      <c r="J44" s="16" t="n">
        <f aca="false">IF($B44="","",COUNTIFS(JAWABAN!$AQ$6:$AQ$55,"B",SKOR!$AW$6:$AW$55,"&gt;"&amp;(N_SISWA-N_GRUP)))</f>
        <v>1</v>
      </c>
      <c r="K44" s="40" t="n">
        <f aca="false">IF($B44="","",COUNTIFS(JAWABAN!$AQ$6:$AQ$55,"C",SKOR!$AS$6:$AS$55,"&gt;=0"))</f>
        <v>5</v>
      </c>
      <c r="L44" s="39" t="n">
        <f aca="false">IF($B44="","",IFERROR(K44/N_SISWA,0))</f>
        <v>0.161290322580645</v>
      </c>
      <c r="M44" s="40" t="n">
        <f aca="false">IF($B44="","",COUNTIFS(JAWABAN!$AQ$6:$AQ$55,"C",SKOR!$AW$6:$AW$55,"&lt;="&amp;N_GRUP))</f>
        <v>1</v>
      </c>
      <c r="N44" s="40" t="n">
        <f aca="false">IF($B44="","",COUNTIFS(JAWABAN!$AQ$6:$AQ$55,"C",SKOR!$AW$6:$AW$55,"&gt;"&amp;(N_SISWA-N_GRUP)))</f>
        <v>0</v>
      </c>
      <c r="O44" s="40" t="n">
        <f aca="false">IF($B44="","",COUNTIFS(JAWABAN!$AQ$6:$AQ$55,"D",SKOR!$AS$6:$AS$55,"&gt;=0"))</f>
        <v>17</v>
      </c>
      <c r="P44" s="39" t="n">
        <f aca="false">IF($B44="","",IFERROR(O44/N_SISWA,0))</f>
        <v>0.548387096774194</v>
      </c>
      <c r="Q44" s="40" t="n">
        <f aca="false">IF($B44="","",COUNTIFS(JAWABAN!$AQ$6:$AQ$55,"D",SKOR!$AW$6:$AW$55,"&lt;="&amp;N_GRUP))</f>
        <v>5</v>
      </c>
      <c r="R44" s="40" t="n">
        <f aca="false">IF($B44="","",COUNTIFS(JAWABAN!$AQ$6:$AQ$55,"D",SKOR!$AW$6:$AW$55,"&gt;"&amp;(N_SISWA-N_GRUP)))</f>
        <v>5</v>
      </c>
      <c r="S44" s="16" t="n">
        <f aca="false">IF($B44="","",N_SISWA-(C44+G44+K44+O44))</f>
        <v>0</v>
      </c>
      <c r="T44" s="16" t="n">
        <f aca="false">IF($B44="","",($B44&lt;&gt;"A")*(D44&gt;=PERSEN_PENGECOH)+($B44&lt;&gt;"B")*(H44&gt;=PERSEN_PENGECOH)+($B44&lt;&gt;"C")*(L44&gt;=PERSEN_PENGECOH)+($B44&lt;&gt;"D")*(P44&gt;=PERSEN_PENGECOH))</f>
        <v>3</v>
      </c>
      <c r="U44" s="16" t="str">
        <f aca="false">IF($B44="","",IF(T44=3,"-",TRIM(IF(AND($B44&lt;&gt;"A",D44&lt;PERSEN_PENGECOH),"A ","")&amp;IF(AND($B44&lt;&gt;"B",H44&lt;PERSEN_PENGECOH),"B ","")&amp;IF(AND($B44&lt;&gt;"C",L44&lt;PERSEN_PENGECOH),"C ","")&amp;IF(AND($B44&lt;&gt;"D",P44&lt;PERSEN_PENGECOH),"D ",""))))</f>
        <v>-</v>
      </c>
    </row>
    <row r="45" customFormat="false" ht="15" hidden="false" customHeight="true" outlineLevel="0" collapsed="false">
      <c r="A45" s="16" t="n">
        <v>40</v>
      </c>
      <c r="B45" s="16" t="str">
        <f aca="false">ANALISIS!B45</f>
        <v>C</v>
      </c>
      <c r="C45" s="16" t="n">
        <f aca="false">IF($B45="","",COUNTIFS(JAWABAN!$AR$6:$AR$55,"A",SKOR!$AS$6:$AS$55,"&gt;=0"))</f>
        <v>5</v>
      </c>
      <c r="D45" s="39" t="n">
        <f aca="false">IF($B45="","",IFERROR(C45/N_SISWA,0))</f>
        <v>0.161290322580645</v>
      </c>
      <c r="E45" s="16" t="n">
        <f aca="false">IF($B45="","",COUNTIFS(JAWABAN!$AR$6:$AR$55,"A",SKOR!$AW$6:$AW$55,"&lt;="&amp;N_GRUP))</f>
        <v>0</v>
      </c>
      <c r="F45" s="16" t="n">
        <f aca="false">IF($B45="","",COUNTIFS(JAWABAN!$AR$6:$AR$55,"A",SKOR!$AW$6:$AW$55,"&gt;"&amp;(N_SISWA-N_GRUP)))</f>
        <v>3</v>
      </c>
      <c r="G45" s="16" t="n">
        <f aca="false">IF($B45="","",COUNTIFS(JAWABAN!$AR$6:$AR$55,"B",SKOR!$AS$6:$AS$55,"&gt;=0"))</f>
        <v>0</v>
      </c>
      <c r="H45" s="39" t="n">
        <f aca="false">IF($B45="","",IFERROR(G45/N_SISWA,0))</f>
        <v>0</v>
      </c>
      <c r="I45" s="16" t="n">
        <f aca="false">IF($B45="","",COUNTIFS(JAWABAN!$AR$6:$AR$55,"B",SKOR!$AW$6:$AW$55,"&lt;="&amp;N_GRUP))</f>
        <v>0</v>
      </c>
      <c r="J45" s="16" t="n">
        <f aca="false">IF($B45="","",COUNTIFS(JAWABAN!$AR$6:$AR$55,"B",SKOR!$AW$6:$AW$55,"&gt;"&amp;(N_SISWA-N_GRUP)))</f>
        <v>0</v>
      </c>
      <c r="K45" s="40" t="n">
        <f aca="false">IF($B45="","",COUNTIFS(JAWABAN!$AR$6:$AR$55,"C",SKOR!$AS$6:$AS$55,"&gt;=0"))</f>
        <v>22</v>
      </c>
      <c r="L45" s="39" t="n">
        <f aca="false">IF($B45="","",IFERROR(K45/N_SISWA,0))</f>
        <v>0.709677419354839</v>
      </c>
      <c r="M45" s="40" t="n">
        <f aca="false">IF($B45="","",COUNTIFS(JAWABAN!$AR$6:$AR$55,"C",SKOR!$AW$6:$AW$55,"&lt;="&amp;N_GRUP))</f>
        <v>7</v>
      </c>
      <c r="N45" s="40" t="n">
        <f aca="false">IF($B45="","",COUNTIFS(JAWABAN!$AR$6:$AR$55,"C",SKOR!$AW$6:$AW$55,"&gt;"&amp;(N_SISWA-N_GRUP)))</f>
        <v>3</v>
      </c>
      <c r="O45" s="40" t="n">
        <f aca="false">IF($B45="","",COUNTIFS(JAWABAN!$AR$6:$AR$55,"D",SKOR!$AS$6:$AS$55,"&gt;=0"))</f>
        <v>3</v>
      </c>
      <c r="P45" s="39" t="n">
        <f aca="false">IF($B45="","",IFERROR(O45/N_SISWA,0))</f>
        <v>0.0967741935483871</v>
      </c>
      <c r="Q45" s="40" t="n">
        <f aca="false">IF($B45="","",COUNTIFS(JAWABAN!$AR$6:$AR$55,"D",SKOR!$AW$6:$AW$55,"&lt;="&amp;N_GRUP))</f>
        <v>1</v>
      </c>
      <c r="R45" s="40" t="n">
        <f aca="false">IF($B45="","",COUNTIFS(JAWABAN!$AR$6:$AR$55,"D",SKOR!$AW$6:$AW$55,"&gt;"&amp;(N_SISWA-N_GRUP)))</f>
        <v>2</v>
      </c>
      <c r="S45" s="16" t="n">
        <f aca="false">IF($B45="","",N_SISWA-(C45+G45+K45+O45))</f>
        <v>1</v>
      </c>
      <c r="T45" s="16" t="n">
        <f aca="false">IF($B45="","",($B45&lt;&gt;"A")*(D45&gt;=PERSEN_PENGECOH)+($B45&lt;&gt;"B")*(H45&gt;=PERSEN_PENGECOH)+($B45&lt;&gt;"C")*(L45&gt;=PERSEN_PENGECOH)+($B45&lt;&gt;"D")*(P45&gt;=PERSEN_PENGECOH))</f>
        <v>2</v>
      </c>
      <c r="U45" s="16" t="str">
        <f aca="false">IF($B45="","",IF(T45=3,"-",TRIM(IF(AND($B45&lt;&gt;"A",D45&lt;PERSEN_PENGECOH),"A ","")&amp;IF(AND($B45&lt;&gt;"B",H45&lt;PERSEN_PENGECOH),"B ","")&amp;IF(AND($B45&lt;&gt;"C",L45&lt;PERSEN_PENGECOH),"C ","")&amp;IF(AND($B45&lt;&gt;"D",P45&lt;PERSEN_PENGECOH),"D ",""))))</f>
        <v>B</v>
      </c>
    </row>
  </sheetData>
  <conditionalFormatting sqref="C6:F45">
    <cfRule type="expression" priority="2" aboveAverage="0" equalAverage="0" bottom="0" percent="0" rank="0" text="" dxfId="0">
      <formula>$B6="A"</formula>
    </cfRule>
  </conditionalFormatting>
  <conditionalFormatting sqref="D6:D45">
    <cfRule type="expression" priority="3" aboveAverage="0" equalAverage="0" bottom="0" percent="0" rank="0" text="" dxfId="1">
      <formula>AND($B6&lt;&gt;"A",$B6&lt;&gt;"",D6&lt;PERSEN_PENGECOH)</formula>
    </cfRule>
  </conditionalFormatting>
  <conditionalFormatting sqref="G6:J45">
    <cfRule type="expression" priority="4" aboveAverage="0" equalAverage="0" bottom="0" percent="0" rank="0" text="" dxfId="0">
      <formula>$B6="B"</formula>
    </cfRule>
  </conditionalFormatting>
  <conditionalFormatting sqref="H6:H45">
    <cfRule type="expression" priority="5" aboveAverage="0" equalAverage="0" bottom="0" percent="0" rank="0" text="" dxfId="1">
      <formula>AND($B6&lt;&gt;"B",$B6&lt;&gt;"",H6&lt;PERSEN_PENGECOH)</formula>
    </cfRule>
  </conditionalFormatting>
  <conditionalFormatting sqref="K6:N45">
    <cfRule type="expression" priority="6" aboveAverage="0" equalAverage="0" bottom="0" percent="0" rank="0" text="" dxfId="0">
      <formula>$B6="C"</formula>
    </cfRule>
  </conditionalFormatting>
  <conditionalFormatting sqref="L6:L45">
    <cfRule type="expression" priority="7" aboveAverage="0" equalAverage="0" bottom="0" percent="0" rank="0" text="" dxfId="1">
      <formula>AND($B6&lt;&gt;"C",$B6&lt;&gt;"",L6&lt;PERSEN_PENGECOH)</formula>
    </cfRule>
  </conditionalFormatting>
  <conditionalFormatting sqref="O6:R45">
    <cfRule type="expression" priority="8" aboveAverage="0" equalAverage="0" bottom="0" percent="0" rank="0" text="" dxfId="0">
      <formula>$B6="D"</formula>
    </cfRule>
  </conditionalFormatting>
  <conditionalFormatting sqref="P6:P45">
    <cfRule type="expression" priority="9" aboveAverage="0" equalAverage="0" bottom="0" percent="0" rank="0" text="" dxfId="1">
      <formula>AND($B6&lt;&gt;"D",$B6&lt;&gt;"",P6&lt;PERSEN_PENGECOH)</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E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8.6328125" defaultRowHeight="14.25" zeroHeight="false" outlineLevelRow="0" outlineLevelCol="0"/>
  <cols>
    <col collapsed="false" customWidth="true" hidden="false" outlineLevel="0" max="1" min="1" style="0" width="46.45"/>
    <col collapsed="false" customWidth="true" hidden="false" outlineLevel="0" max="2" min="2" style="0" width="38"/>
    <col collapsed="false" customWidth="true" hidden="false" outlineLevel="0" max="4" min="3" style="0" width="14"/>
    <col collapsed="false" customWidth="true" hidden="false" outlineLevel="0" max="5" min="5" style="0" width="60"/>
    <col collapsed="false" customWidth="true" hidden="false" outlineLevel="0" max="6" min="6" style="0" width="3"/>
  </cols>
  <sheetData>
    <row r="1" customFormat="false" ht="17.25" hidden="false" customHeight="true" outlineLevel="0" collapsed="false">
      <c r="A1" s="12" t="s">
        <v>226</v>
      </c>
    </row>
    <row r="2" customFormat="false" ht="15" hidden="false" customHeight="true" outlineLevel="0" collapsed="false">
      <c r="A2" s="13" t="str">
        <f aca="false">UPPER(NAMA_MADRASAH)&amp;" | TAHUN PELAJARAN "&amp;TAHUN_AJAR</f>
        <v>MTSN 3 SUBANG | TAHUN PELAJARAN 2025-2026</v>
      </c>
    </row>
    <row r="3" customFormat="false" ht="15" hidden="false" customHeight="true" outlineLevel="0" collapsed="false">
      <c r="A3" s="14" t="str">
        <f aca="false">MAPEL&amp;" | Kelas "&amp;KELAS&amp;" | Semester "&amp;SEMESTER&amp;" | "&amp;JENIS_TES</f>
        <v>Bahasa Indonesia | Kelas IX G | Semester Ganjil | Penilaian Akhir Semester</v>
      </c>
    </row>
    <row r="5" customFormat="false" ht="15" hidden="false" customHeight="true" outlineLevel="0" collapsed="false">
      <c r="A5" s="3" t="s">
        <v>227</v>
      </c>
      <c r="B5" s="3"/>
      <c r="C5" s="3"/>
      <c r="D5" s="3"/>
      <c r="E5" s="3"/>
    </row>
    <row r="6" customFormat="false" ht="15" hidden="false" customHeight="true" outlineLevel="0" collapsed="false">
      <c r="A6" s="20" t="s">
        <v>228</v>
      </c>
      <c r="B6" s="41"/>
      <c r="C6" s="42" t="n">
        <f aca="false">COUNT(SKOR!$AS$6:$AS$55)</f>
        <v>31</v>
      </c>
      <c r="D6" s="41"/>
      <c r="E6" s="21" t="s">
        <v>229</v>
      </c>
    </row>
    <row r="7" customFormat="false" ht="15" hidden="false" customHeight="true" outlineLevel="0" collapsed="false">
      <c r="A7" s="20" t="s">
        <v>230</v>
      </c>
      <c r="B7" s="41"/>
      <c r="C7" s="42" t="n">
        <f aca="false">COUNTIF(KUNCI!$B$6:$B$45,"?*")</f>
        <v>40</v>
      </c>
      <c r="D7" s="41"/>
      <c r="E7" s="21" t="s">
        <v>231</v>
      </c>
    </row>
    <row r="8" customFormat="false" ht="15" hidden="false" customHeight="true" outlineLevel="0" collapsed="false">
      <c r="A8" s="20" t="s">
        <v>232</v>
      </c>
      <c r="B8" s="41"/>
      <c r="C8" s="42" t="n">
        <f aca="false">IF(C6=0,"",MAX(SKOR!$AS$6:$AS$55))</f>
        <v>35</v>
      </c>
      <c r="D8" s="41"/>
      <c r="E8" s="21"/>
    </row>
    <row r="9" customFormat="false" ht="15" hidden="false" customHeight="true" outlineLevel="0" collapsed="false">
      <c r="A9" s="20" t="s">
        <v>233</v>
      </c>
      <c r="B9" s="41"/>
      <c r="C9" s="42" t="n">
        <f aca="false">IF(C6=0,"",MIN(SKOR!$AS$6:$AS$55))</f>
        <v>13</v>
      </c>
      <c r="D9" s="41"/>
      <c r="E9" s="21"/>
    </row>
    <row r="10" customFormat="false" ht="15" hidden="false" customHeight="true" outlineLevel="0" collapsed="false">
      <c r="A10" s="20" t="s">
        <v>234</v>
      </c>
      <c r="B10" s="41"/>
      <c r="C10" s="43" t="n">
        <f aca="false">IFERROR(AVERAGE(SKOR!$AS$6:$AS$55),"")</f>
        <v>23.9032258064516</v>
      </c>
      <c r="D10" s="41"/>
      <c r="E10" s="21"/>
    </row>
    <row r="11" customFormat="false" ht="15" hidden="false" customHeight="true" outlineLevel="0" collapsed="false">
      <c r="A11" s="20" t="s">
        <v>235</v>
      </c>
      <c r="B11" s="41"/>
      <c r="C11" s="43" t="n">
        <f aca="false">IFERROR(STDEVP(SKOR!$AS$6:$AS$55),"")</f>
        <v>5.86600286346442</v>
      </c>
      <c r="D11" s="41"/>
      <c r="E11" s="21" t="s">
        <v>236</v>
      </c>
    </row>
    <row r="12" customFormat="false" ht="15" hidden="false" customHeight="true" outlineLevel="0" collapsed="false">
      <c r="A12" s="20" t="s">
        <v>237</v>
      </c>
      <c r="B12" s="41"/>
      <c r="C12" s="43" t="n">
        <f aca="false">IFERROR(VARP(SKOR!$AS$6:$AS$55),"")</f>
        <v>34.4099895941727</v>
      </c>
      <c r="D12" s="41"/>
      <c r="E12" s="21"/>
    </row>
    <row r="13" customFormat="false" ht="15" hidden="false" customHeight="true" outlineLevel="0" collapsed="false">
      <c r="A13" s="20" t="s">
        <v>238</v>
      </c>
      <c r="B13" s="41"/>
      <c r="C13" s="43" t="n">
        <f aca="false">IFERROR(AVERAGE(SKOR!$AT$6:$AT$55),"")</f>
        <v>59.758064516129</v>
      </c>
      <c r="D13" s="41"/>
      <c r="E13" s="21" t="s">
        <v>239</v>
      </c>
    </row>
    <row r="14" customFormat="false" ht="15" hidden="false" customHeight="true" outlineLevel="0" collapsed="false">
      <c r="A14" s="20" t="s">
        <v>240</v>
      </c>
      <c r="B14" s="41"/>
      <c r="C14" s="42" t="n">
        <f aca="false">COUNTIF(SKOR!$AU$6:$AU$55,"Tuntas")</f>
        <v>6</v>
      </c>
      <c r="D14" s="41"/>
      <c r="E14" s="21" t="s">
        <v>241</v>
      </c>
    </row>
    <row r="15" customFormat="false" ht="15" hidden="false" customHeight="true" outlineLevel="0" collapsed="false">
      <c r="A15" s="20" t="s">
        <v>242</v>
      </c>
      <c r="B15" s="41"/>
      <c r="C15" s="44" t="n">
        <f aca="false">IFERROR(C14/C6,"")</f>
        <v>0.193548387096774</v>
      </c>
      <c r="D15" s="41"/>
      <c r="E15" s="21"/>
    </row>
    <row r="16" customFormat="false" ht="15" hidden="false" customHeight="true" outlineLevel="0" collapsed="false">
      <c r="A16" s="20" t="s">
        <v>243</v>
      </c>
      <c r="B16" s="41"/>
      <c r="C16" s="42" t="n">
        <f aca="false">IF(C6=0,0,MAX(1,ROUND(PERSEN_GRUP*C6,0)))</f>
        <v>8</v>
      </c>
      <c r="D16" s="41"/>
      <c r="E16" s="21" t="s">
        <v>244</v>
      </c>
    </row>
    <row r="17" customFormat="false" ht="15" hidden="false" customHeight="true" outlineLevel="0" collapsed="false">
      <c r="A17" s="20" t="s">
        <v>245</v>
      </c>
      <c r="B17" s="41"/>
      <c r="C17" s="42" t="n">
        <f aca="false">MAX(C6-2,0)</f>
        <v>29</v>
      </c>
      <c r="D17" s="41"/>
      <c r="E17" s="21"/>
    </row>
    <row r="18" customFormat="false" ht="15" hidden="false" customHeight="true" outlineLevel="0" collapsed="false">
      <c r="A18" s="20" t="s">
        <v>246</v>
      </c>
      <c r="B18" s="41"/>
      <c r="C18" s="45" t="n">
        <f aca="false">IFERROR(TINV(TARAF_ALPHA,C17)/SQRT(C17+TINV(TARAF_ALPHA,C17)^2),"")</f>
        <v>0.355045889177768</v>
      </c>
      <c r="D18" s="41"/>
      <c r="E18" s="21" t="s">
        <v>247</v>
      </c>
    </row>
    <row r="19" customFormat="false" ht="15" hidden="false" customHeight="true" outlineLevel="0" collapsed="false">
      <c r="A19" s="20" t="s">
        <v>248</v>
      </c>
      <c r="B19" s="41"/>
      <c r="C19" s="45" t="n">
        <f aca="false">SUM(ANALISIS!$O$6:$O$45)</f>
        <v>9.33610822060354</v>
      </c>
      <c r="D19" s="41"/>
      <c r="E19" s="21"/>
    </row>
    <row r="20" customFormat="false" ht="15" hidden="false" customHeight="true" outlineLevel="0" collapsed="false">
      <c r="A20" s="20" t="s">
        <v>249</v>
      </c>
      <c r="B20" s="41"/>
      <c r="C20" s="45" t="n">
        <f aca="false">IFERROR(K_SOAL/(K_SOAL-1)*(1-C19/VAR_SKOR),"")</f>
        <v>0.747364405281425</v>
      </c>
      <c r="D20" s="41"/>
      <c r="E20" s="21" t="s">
        <v>250</v>
      </c>
    </row>
    <row r="21" customFormat="false" ht="15" hidden="false" customHeight="true" outlineLevel="0" collapsed="false">
      <c r="A21" s="20" t="s">
        <v>251</v>
      </c>
      <c r="B21" s="41"/>
      <c r="C21" s="46" t="str">
        <f aca="false">IF(C20="","",IF(C20&gt;=0.8,"Sangat tinggi",IF(C20&gt;=0.6,"Tinggi",IF(C20&gt;=0.4,"Cukup",IF(C20&gt;=0.2,"Rendah","Sangat rendah")))))</f>
        <v>Tinggi</v>
      </c>
      <c r="D21" s="41"/>
      <c r="E21" s="21" t="s">
        <v>252</v>
      </c>
    </row>
    <row r="22" customFormat="false" ht="15" hidden="false" customHeight="true" outlineLevel="0" collapsed="false">
      <c r="A22" s="20" t="s">
        <v>253</v>
      </c>
      <c r="B22" s="41"/>
      <c r="C22" s="45" t="n">
        <f aca="false">IFERROR(K_SOAL/(K_SOAL-1)*(1-MEAN_SKOR*(K_SOAL-MEAN_SKOR)/(K_SOAL*VAR_SKOR)),"")</f>
        <v>0.738928796295435</v>
      </c>
      <c r="D22" s="41"/>
      <c r="E22" s="21" t="s">
        <v>254</v>
      </c>
    </row>
    <row r="23" customFormat="false" ht="15" hidden="false" customHeight="true" outlineLevel="0" collapsed="false">
      <c r="A23" s="20" t="s">
        <v>255</v>
      </c>
      <c r="B23" s="41"/>
      <c r="C23" s="43" t="n">
        <f aca="false">IFERROR(SD_SKOR*SQRT(1-C20),"")</f>
        <v>2.94842130391568</v>
      </c>
      <c r="D23" s="41"/>
      <c r="E23" s="21" t="s">
        <v>256</v>
      </c>
    </row>
    <row r="25" customFormat="false" ht="15" hidden="false" customHeight="true" outlineLevel="0" collapsed="false">
      <c r="A25" s="3" t="s">
        <v>257</v>
      </c>
      <c r="B25" s="3"/>
      <c r="C25" s="3"/>
      <c r="D25" s="3"/>
      <c r="E25" s="3"/>
    </row>
    <row r="26" customFormat="false" ht="15" hidden="false" customHeight="true" outlineLevel="0" collapsed="false">
      <c r="A26" s="8" t="s">
        <v>18</v>
      </c>
      <c r="B26" s="8" t="s">
        <v>258</v>
      </c>
      <c r="C26" s="8" t="s">
        <v>259</v>
      </c>
      <c r="D26" s="8" t="s">
        <v>260</v>
      </c>
      <c r="E26" s="8" t="s">
        <v>261</v>
      </c>
    </row>
    <row r="27" customFormat="false" ht="15" hidden="false" customHeight="true" outlineLevel="0" collapsed="false">
      <c r="A27" s="47" t="s">
        <v>197</v>
      </c>
      <c r="B27" s="20" t="s">
        <v>262</v>
      </c>
      <c r="C27" s="29" t="n">
        <f aca="false">COUNTIF(ANALISIS!$N$6:$N$45,$B27)</f>
        <v>16</v>
      </c>
      <c r="D27" s="48" t="n">
        <f aca="false">IFERROR(C27/K_SOAL,0)</f>
        <v>0.4</v>
      </c>
      <c r="E27" s="20"/>
    </row>
    <row r="28" customFormat="false" ht="15" hidden="false" customHeight="true" outlineLevel="0" collapsed="false">
      <c r="A28" s="47"/>
      <c r="B28" s="20" t="s">
        <v>263</v>
      </c>
      <c r="C28" s="29" t="n">
        <f aca="false">COUNTIF(ANALISIS!$N$6:$N$45,$B28)</f>
        <v>24</v>
      </c>
      <c r="D28" s="48" t="n">
        <f aca="false">IFERROR(C28/K_SOAL,0)</f>
        <v>0.6</v>
      </c>
      <c r="E28" s="20"/>
    </row>
    <row r="29" customFormat="false" ht="15" hidden="false" customHeight="true" outlineLevel="0" collapsed="false">
      <c r="A29" s="47" t="s">
        <v>264</v>
      </c>
      <c r="B29" s="20" t="s">
        <v>265</v>
      </c>
      <c r="C29" s="29" t="n">
        <f aca="false">COUNTIF(ANALISIS!$F$6:$F$45,$B29)</f>
        <v>0</v>
      </c>
      <c r="D29" s="48" t="n">
        <f aca="false">IFERROR(C29/K_SOAL,0)</f>
        <v>0</v>
      </c>
      <c r="E29" s="20"/>
    </row>
    <row r="30" customFormat="false" ht="15" hidden="false" customHeight="true" outlineLevel="0" collapsed="false">
      <c r="A30" s="47"/>
      <c r="B30" s="20" t="s">
        <v>266</v>
      </c>
      <c r="C30" s="29" t="n">
        <f aca="false">COUNTIF(ANALISIS!$F$6:$F$45,$B30)</f>
        <v>35</v>
      </c>
      <c r="D30" s="48" t="n">
        <f aca="false">IFERROR(C30/K_SOAL,0)</f>
        <v>0.875</v>
      </c>
      <c r="E30" s="20"/>
    </row>
    <row r="31" customFormat="false" ht="15" hidden="false" customHeight="true" outlineLevel="0" collapsed="false">
      <c r="A31" s="47"/>
      <c r="B31" s="20" t="s">
        <v>267</v>
      </c>
      <c r="C31" s="29" t="n">
        <f aca="false">COUNTIF(ANALISIS!$F$6:$F$45,$B31)</f>
        <v>5</v>
      </c>
      <c r="D31" s="48" t="n">
        <f aca="false">IFERROR(C31/K_SOAL,0)</f>
        <v>0.125</v>
      </c>
      <c r="E31" s="20"/>
    </row>
    <row r="32" customFormat="false" ht="15" hidden="false" customHeight="true" outlineLevel="0" collapsed="false">
      <c r="A32" s="47" t="s">
        <v>268</v>
      </c>
      <c r="B32" s="20" t="s">
        <v>269</v>
      </c>
      <c r="C32" s="29" t="n">
        <f aca="false">COUNTIF(ANALISIS!$J$6:$J$45,$B32)</f>
        <v>1</v>
      </c>
      <c r="D32" s="48" t="n">
        <f aca="false">IFERROR(C32/K_SOAL,0)</f>
        <v>0.025</v>
      </c>
      <c r="E32" s="20"/>
    </row>
    <row r="33" customFormat="false" ht="15" hidden="false" customHeight="true" outlineLevel="0" collapsed="false">
      <c r="A33" s="47"/>
      <c r="B33" s="20" t="s">
        <v>270</v>
      </c>
      <c r="C33" s="29" t="n">
        <f aca="false">COUNTIF(ANALISIS!$J$6:$J$45,$B33)</f>
        <v>8</v>
      </c>
      <c r="D33" s="48" t="n">
        <f aca="false">IFERROR(C33/K_SOAL,0)</f>
        <v>0.2</v>
      </c>
      <c r="E33" s="20"/>
    </row>
    <row r="34" customFormat="false" ht="15" hidden="false" customHeight="true" outlineLevel="0" collapsed="false">
      <c r="A34" s="47"/>
      <c r="B34" s="20" t="s">
        <v>271</v>
      </c>
      <c r="C34" s="29" t="n">
        <f aca="false">COUNTIF(ANALISIS!$J$6:$J$45,$B34)</f>
        <v>12</v>
      </c>
      <c r="D34" s="48" t="n">
        <f aca="false">IFERROR(C34/K_SOAL,0)</f>
        <v>0.3</v>
      </c>
      <c r="E34" s="20"/>
    </row>
    <row r="35" customFormat="false" ht="15" hidden="false" customHeight="true" outlineLevel="0" collapsed="false">
      <c r="A35" s="47"/>
      <c r="B35" s="20" t="s">
        <v>272</v>
      </c>
      <c r="C35" s="29" t="n">
        <f aca="false">COUNTIF(ANALISIS!$J$6:$J$45,$B35)</f>
        <v>17</v>
      </c>
      <c r="D35" s="48" t="n">
        <f aca="false">IFERROR(C35/K_SOAL,0)</f>
        <v>0.425</v>
      </c>
      <c r="E35" s="20"/>
    </row>
    <row r="36" customFormat="false" ht="15" hidden="false" customHeight="true" outlineLevel="0" collapsed="false">
      <c r="A36" s="47"/>
      <c r="B36" s="20" t="s">
        <v>273</v>
      </c>
      <c r="C36" s="29" t="n">
        <f aca="false">COUNTIF(ANALISIS!$J$6:$J$45,$B36)</f>
        <v>2</v>
      </c>
      <c r="D36" s="48" t="n">
        <f aca="false">IFERROR(C36/K_SOAL,0)</f>
        <v>0.05</v>
      </c>
      <c r="E36" s="20"/>
    </row>
    <row r="37" customFormat="false" ht="15" hidden="false" customHeight="true" outlineLevel="0" collapsed="false">
      <c r="A37" s="47" t="s">
        <v>274</v>
      </c>
      <c r="B37" s="20" t="s">
        <v>275</v>
      </c>
      <c r="C37" s="29" t="n">
        <f aca="false">COUNTIF(PENGECOH!$T$6:$T$45,3)</f>
        <v>33</v>
      </c>
      <c r="D37" s="48" t="n">
        <f aca="false">IFERROR(C37/K_SOAL,0)</f>
        <v>0.825</v>
      </c>
      <c r="E37" s="20"/>
    </row>
    <row r="38" customFormat="false" ht="15" hidden="false" customHeight="true" outlineLevel="0" collapsed="false">
      <c r="A38" s="47"/>
      <c r="B38" s="20" t="s">
        <v>276</v>
      </c>
      <c r="C38" s="29" t="n">
        <f aca="false">K_SOAL-C37</f>
        <v>7</v>
      </c>
      <c r="D38" s="48" t="n">
        <f aca="false">IFERROR(C38/K_SOAL,0)</f>
        <v>0.175</v>
      </c>
      <c r="E38" s="20"/>
    </row>
    <row r="39" customFormat="false" ht="15" hidden="false" customHeight="true" outlineLevel="0" collapsed="false">
      <c r="A39" s="47" t="s">
        <v>36</v>
      </c>
      <c r="B39" s="20" t="s">
        <v>277</v>
      </c>
      <c r="C39" s="29" t="n">
        <f aca="false">COUNTIF(ANALISIS!$Q$6:$Q$45,$B39)</f>
        <v>15</v>
      </c>
      <c r="D39" s="48" t="n">
        <f aca="false">IFERROR(C39/K_SOAL,0)</f>
        <v>0.375</v>
      </c>
      <c r="E39" s="35" t="str">
        <f aca="false">IFERROR(_xlfn.TEXTJOIN(", ",TRUE(),ANALISIS!$T$6:$T$45),"")</f>
        <v>6, 7, 11, 12, 14, 15, 16, 18, 21, 24, 27, 28, 29, 35, 37</v>
      </c>
    </row>
    <row r="40" customFormat="false" ht="15" hidden="false" customHeight="true" outlineLevel="0" collapsed="false">
      <c r="A40" s="47"/>
      <c r="B40" s="20" t="s">
        <v>278</v>
      </c>
      <c r="C40" s="29" t="n">
        <f aca="false">COUNTIF(ANALISIS!$Q$6:$Q$45,$B40)</f>
        <v>13</v>
      </c>
      <c r="D40" s="48" t="n">
        <f aca="false">IFERROR(C40/K_SOAL,0)</f>
        <v>0.325</v>
      </c>
      <c r="E40" s="35" t="str">
        <f aca="false">IFERROR(_xlfn.TEXTJOIN(", ",TRUE(),ANALISIS!$U$6:$U$45),"")</f>
        <v>2, 5, 9, 10, 20, 22, 26, 30, 32, 33, 34, 36, 38</v>
      </c>
    </row>
    <row r="41" customFormat="false" ht="15" hidden="false" customHeight="true" outlineLevel="0" collapsed="false">
      <c r="A41" s="47"/>
      <c r="B41" s="20" t="s">
        <v>279</v>
      </c>
      <c r="C41" s="29" t="n">
        <f aca="false">COUNTIF(ANALISIS!$Q$6:$Q$45,$B41)</f>
        <v>12</v>
      </c>
      <c r="D41" s="48" t="n">
        <f aca="false">IFERROR(C41/K_SOAL,0)</f>
        <v>0.3</v>
      </c>
      <c r="E41" s="35" t="str">
        <f aca="false">IFERROR(_xlfn.TEXTJOIN(", ",TRUE(),ANALISIS!$V$6:$V$45),"")</f>
        <v>1, 3, 4, 8, 13, 17, 19, 23, 25, 31, 39, 40</v>
      </c>
    </row>
    <row r="43" customFormat="false" ht="15" hidden="false" customHeight="true" outlineLevel="0" collapsed="false">
      <c r="A43" s="3" t="s">
        <v>280</v>
      </c>
      <c r="B43" s="3"/>
      <c r="C43" s="3"/>
      <c r="D43" s="3"/>
      <c r="E43" s="3"/>
    </row>
    <row r="44" customFormat="false" ht="15" hidden="false" customHeight="true" outlineLevel="0" collapsed="false">
      <c r="A44" s="14" t="str">
        <f aca="false">IFERROR("1. Tes diikuti "&amp;C6&amp;" peserta dengan "&amp;C7&amp;" butir soal; rata-rata nilai "&amp;TEXT(C13,"0.00")&amp;" dan ketuntasan klasikal "&amp;TEXT(C15,"0.0%")&amp;".","Data belum lengkap.")</f>
        <v>1. Tes diikuti 31 peserta dengan 40 butir soal; rata-rata nilai 59.76 dan ketuntasan klasikal 19.4%.</v>
      </c>
    </row>
    <row r="45" customFormat="false" ht="15" hidden="false" customHeight="true" outlineLevel="0" collapsed="false">
      <c r="A45" s="14" t="str">
        <f aca="false">IFERROR("2. Reliabilitas tes (KR-20) = "&amp;TEXT(C20,"0.000")&amp;", termasuk kategori "&amp;LOWER(C21)&amp;".","Reliabilitas belum dapat dihitung.")</f>
        <v>2. Reliabilitas tes (KR-20) = 0.747, termasuk kategori tinggi.</v>
      </c>
    </row>
    <row r="46" customFormat="false" ht="15" hidden="false" customHeight="true" outlineLevel="0" collapsed="false">
      <c r="A46" s="14" t="str">
        <f aca="false">IFERROR("3. Dari "&amp;C7&amp;" butir: "&amp;C39&amp;" diterima, "&amp;C40&amp;" direvisi, dan "&amp;C41&amp;" diganti/dibuang; "&amp;C27&amp;" butir valid.","Rekomendasi belum dapat dihitung.")</f>
        <v>3. Dari 40 butir: 15 diterima, 13 direvisi, dan 12 diganti/dibuang; 16 butir valid.</v>
      </c>
    </row>
    <row r="49" customFormat="false" ht="15" hidden="false" customHeight="true" outlineLevel="0" collapsed="false">
      <c r="E49" s="14" t="str">
        <f aca="false">TEMPAT_TTD&amp;", "&amp;TANGGAL_ANALISIS</f>
        <v>Subang, Senin, 01 Desember 2025</v>
      </c>
    </row>
    <row r="50" customFormat="false" ht="15" hidden="false" customHeight="true" outlineLevel="0" collapsed="false">
      <c r="A50" s="14" t="s">
        <v>281</v>
      </c>
      <c r="E50" s="14" t="s">
        <v>282</v>
      </c>
    </row>
    <row r="51" customFormat="false" ht="15" hidden="false" customHeight="true" outlineLevel="0" collapsed="false">
      <c r="A51" s="14" t="s">
        <v>283</v>
      </c>
    </row>
    <row r="55" customFormat="false" ht="15" hidden="false" customHeight="true" outlineLevel="0" collapsed="false">
      <c r="A55" s="49" t="str">
        <f aca="false">KEPALA_NAMA</f>
        <v>Rosih, S.Ag</v>
      </c>
      <c r="E55" s="49" t="str">
        <f aca="false">GURU_NAMA</f>
        <v>Enok Demiyati, S.Pd.</v>
      </c>
    </row>
    <row r="56" customFormat="false" ht="15" hidden="false" customHeight="true" outlineLevel="0" collapsed="false">
      <c r="A56" s="14" t="str">
        <f aca="false">"NIP. "&amp;NIP_KEPALA</f>
        <v>NIP. 197010281994032001</v>
      </c>
      <c r="E56" s="14" t="str">
        <f aca="false">"NIP. "&amp;NIP_GURU</f>
        <v>NIP. 196906252005012003</v>
      </c>
    </row>
  </sheetData>
  <printOptions headings="false" gridLines="false" gridLinesSet="true" horizontalCentered="false" verticalCentered="false"/>
  <pageMargins left="0.190277777777778" right="0.140277777777778" top="1" bottom="0.5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AY145"/>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49" activeCellId="0" sqref="A49"/>
    </sheetView>
  </sheetViews>
  <sheetFormatPr defaultColWidth="8.6328125" defaultRowHeight="14.2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10"/>
    <col collapsed="false" customWidth="true" hidden="false" outlineLevel="0" max="4" min="4" style="0" width="11"/>
    <col collapsed="false" customWidth="true" hidden="false" outlineLevel="0" max="5" min="5" style="0" width="13"/>
    <col collapsed="false" customWidth="true" hidden="false" outlineLevel="0" max="6" min="6" style="0" width="14"/>
    <col collapsed="false" customWidth="true" hidden="false" outlineLevel="0" max="7" min="7" style="0" width="46"/>
    <col collapsed="false" customWidth="true" hidden="false" outlineLevel="0" max="8" min="8" style="0" width="30"/>
    <col collapsed="false" customWidth="true" hidden="false" outlineLevel="0" max="10" min="9" style="0" width="16"/>
    <col collapsed="false" customWidth="true" hidden="false" outlineLevel="0" max="11" min="11" style="0" width="3"/>
    <col collapsed="false" customWidth="true" hidden="true" outlineLevel="0" max="14" min="12" style="0" width="7"/>
    <col collapsed="false" customWidth="true" hidden="true" outlineLevel="0" max="51" min="15" style="0" width="5"/>
    <col collapsed="false" customWidth="false" hidden="true" outlineLevel="0" max="16384" min="52" style="0" width="8.63"/>
  </cols>
  <sheetData>
    <row r="1" customFormat="false" ht="18" hidden="false" customHeight="true" outlineLevel="0" collapsed="false">
      <c r="A1" s="12" t="s">
        <v>284</v>
      </c>
    </row>
    <row r="2" customFormat="false" ht="14.25" hidden="false" customHeight="false" outlineLevel="0" collapsed="false">
      <c r="A2" s="50" t="str">
        <f aca="false">UPPER(NAMA_MADRASAH)&amp;" | TAHUN PELAJARAN "&amp;TAHUN_AJAR</f>
        <v>MTSN 3 SUBANG | TAHUN PELAJARAN 2025-2026</v>
      </c>
    </row>
    <row r="3" customFormat="false" ht="14.25" hidden="false" customHeight="false" outlineLevel="0" collapsed="false">
      <c r="A3" s="51" t="str">
        <f aca="false">MAPEL&amp;" | Kelas "&amp;KELAS&amp;" | Semester "&amp;SEMESTER&amp;" | "&amp;JENIS_TES</f>
        <v>Bahasa Indonesia | Kelas IX G | Semester Ganjil | Penilaian Akhir Semester</v>
      </c>
    </row>
    <row r="4" customFormat="false" ht="14.25" hidden="false" customHeight="false" outlineLevel="0" collapsed="false">
      <c r="A4" s="51" t="s">
        <v>285</v>
      </c>
    </row>
    <row r="6" customFormat="false" ht="14.25" hidden="false" customHeight="false" outlineLevel="0" collapsed="false">
      <c r="A6" s="52" t="s">
        <v>286</v>
      </c>
      <c r="B6" s="52"/>
      <c r="C6" s="52"/>
      <c r="D6" s="52"/>
      <c r="E6" s="52"/>
      <c r="F6" s="52"/>
      <c r="G6" s="52"/>
      <c r="H6" s="52"/>
      <c r="I6" s="52"/>
      <c r="J6" s="52"/>
    </row>
    <row r="7" customFormat="false" ht="15" hidden="false" customHeight="true" outlineLevel="0" collapsed="false">
      <c r="A7" s="53" t="s">
        <v>287</v>
      </c>
      <c r="B7" s="53"/>
      <c r="C7" s="53"/>
      <c r="D7" s="53"/>
      <c r="E7" s="54" t="n">
        <f aca="false">N_SISWA</f>
        <v>31</v>
      </c>
      <c r="F7" s="21" t="s">
        <v>288</v>
      </c>
    </row>
    <row r="8" customFormat="false" ht="15" hidden="false" customHeight="true" outlineLevel="0" collapsed="false">
      <c r="A8" s="53" t="s">
        <v>89</v>
      </c>
      <c r="B8" s="53"/>
      <c r="C8" s="53"/>
      <c r="D8" s="53"/>
      <c r="E8" s="54" t="n">
        <f aca="false">NILAI_KKM</f>
        <v>75</v>
      </c>
      <c r="F8" s="21" t="s">
        <v>289</v>
      </c>
    </row>
    <row r="9" customFormat="false" ht="15" hidden="false" customHeight="true" outlineLevel="0" collapsed="false">
      <c r="A9" s="53" t="s">
        <v>290</v>
      </c>
      <c r="B9" s="53"/>
      <c r="C9" s="53"/>
      <c r="D9" s="53"/>
      <c r="E9" s="54" t="n">
        <f aca="false">COUNTIF($F$43:$F$92,"Pengayaan")</f>
        <v>6</v>
      </c>
    </row>
    <row r="10" customFormat="false" ht="15" hidden="false" customHeight="true" outlineLevel="0" collapsed="false">
      <c r="A10" s="53" t="s">
        <v>291</v>
      </c>
      <c r="B10" s="53"/>
      <c r="C10" s="53"/>
      <c r="D10" s="53"/>
      <c r="E10" s="54" t="n">
        <f aca="false">COUNTIF($F$43:$F$92,"Remedial")</f>
        <v>25</v>
      </c>
    </row>
    <row r="11" customFormat="false" ht="15" hidden="false" customHeight="true" outlineLevel="0" collapsed="false">
      <c r="A11" s="53" t="s">
        <v>242</v>
      </c>
      <c r="B11" s="53"/>
      <c r="C11" s="53"/>
      <c r="D11" s="53"/>
      <c r="E11" s="55" t="n">
        <f aca="false">IFERROR(E9/E7,"")</f>
        <v>0.193548387096774</v>
      </c>
      <c r="F11" s="21" t="s">
        <v>292</v>
      </c>
    </row>
    <row r="12" customFormat="false" ht="15" hidden="false" customHeight="true" outlineLevel="0" collapsed="false">
      <c r="A12" s="53" t="s">
        <v>293</v>
      </c>
      <c r="B12" s="53"/>
      <c r="C12" s="53"/>
      <c r="D12" s="53"/>
      <c r="E12" s="56" t="n">
        <f aca="false">IFERROR(AVERAGEIF($F$43:$F$92,"Remedial",$D$43:$D$92),"")</f>
        <v>54.8</v>
      </c>
    </row>
    <row r="13" customFormat="false" ht="15" hidden="false" customHeight="true" outlineLevel="0" collapsed="false">
      <c r="A13" s="53" t="s">
        <v>294</v>
      </c>
      <c r="B13" s="53"/>
      <c r="C13" s="53"/>
      <c r="D13" s="53"/>
      <c r="E13" s="56" t="n">
        <f aca="false">IFERROR(AVERAGEIF($F$43:$F$92,"Pengayaan",$D$43:$D$92),"")</f>
        <v>80.4166666666667</v>
      </c>
    </row>
    <row r="14" customFormat="false" ht="15" hidden="false" customHeight="true" outlineLevel="0" collapsed="false">
      <c r="A14" s="53" t="s">
        <v>295</v>
      </c>
      <c r="B14" s="53"/>
      <c r="C14" s="53"/>
      <c r="D14" s="53"/>
      <c r="E14" s="54" t="n">
        <f aca="false">COUNTIF($G$43:$G$92,"Remedial intensif*")</f>
        <v>8</v>
      </c>
    </row>
    <row r="15" customFormat="false" ht="15" hidden="false" customHeight="true" outlineLevel="0" collapsed="false">
      <c r="A15" s="53" t="s">
        <v>296</v>
      </c>
      <c r="B15" s="53"/>
      <c r="C15" s="53"/>
      <c r="D15" s="53"/>
      <c r="E15" s="54" t="n">
        <f aca="false">COUNTIF($G$43:$G$92,"Remedial terbimbing*")</f>
        <v>17</v>
      </c>
    </row>
    <row r="16" customFormat="false" ht="15" hidden="false" customHeight="true" outlineLevel="0" collapsed="false">
      <c r="A16" s="53" t="s">
        <v>297</v>
      </c>
      <c r="B16" s="53"/>
      <c r="C16" s="53"/>
      <c r="D16" s="53"/>
      <c r="E16" s="54" t="n">
        <f aca="false">COUNTIF($G$43:$G$92,"Pengayaan lanjut*")</f>
        <v>6</v>
      </c>
    </row>
    <row r="17" customFormat="false" ht="15" hidden="false" customHeight="true" outlineLevel="0" collapsed="false">
      <c r="A17" s="53" t="s">
        <v>298</v>
      </c>
      <c r="B17" s="53"/>
      <c r="C17" s="53"/>
      <c r="D17" s="53"/>
      <c r="E17" s="54" t="n">
        <f aca="false">COUNTIF($G$43:$G$92,"Pengayaan dasar*")</f>
        <v>0</v>
      </c>
    </row>
    <row r="18" customFormat="false" ht="15" hidden="false" customHeight="true" outlineLevel="0" collapsed="false">
      <c r="A18" s="53" t="s">
        <v>299</v>
      </c>
      <c r="B18" s="53"/>
      <c r="C18" s="53"/>
      <c r="D18" s="53"/>
      <c r="E18" s="57" t="n">
        <v>50</v>
      </c>
      <c r="F18" s="21" t="s">
        <v>300</v>
      </c>
    </row>
    <row r="19" customFormat="false" ht="15" hidden="false" customHeight="true" outlineLevel="0" collapsed="false">
      <c r="A19" s="53" t="s">
        <v>301</v>
      </c>
      <c r="B19" s="53"/>
      <c r="C19" s="53"/>
      <c r="D19" s="53"/>
      <c r="E19" s="58" t="n">
        <v>0.6</v>
      </c>
      <c r="F19" s="21" t="s">
        <v>302</v>
      </c>
    </row>
    <row r="20" customFormat="false" ht="15" hidden="false" customHeight="true" outlineLevel="0" collapsed="false">
      <c r="A20" s="53" t="s">
        <v>303</v>
      </c>
      <c r="B20" s="53"/>
      <c r="C20" s="53"/>
      <c r="D20" s="53"/>
      <c r="E20" s="54" t="n">
        <f aca="false">COUNTIF($J$96:$J$135,"Ya")</f>
        <v>22</v>
      </c>
    </row>
    <row r="21" customFormat="false" ht="15" hidden="false" customHeight="true" outlineLevel="0" collapsed="false">
      <c r="A21" s="53" t="s">
        <v>304</v>
      </c>
      <c r="B21" s="53"/>
      <c r="C21" s="53"/>
      <c r="D21" s="53"/>
      <c r="E21" s="54" t="n">
        <f aca="false">COUNTIF($J$96:$J$135,"Tinjau soal")</f>
        <v>5</v>
      </c>
      <c r="F21" s="21" t="s">
        <v>305</v>
      </c>
    </row>
    <row r="23" customFormat="false" ht="14.25" hidden="false" customHeight="false" outlineLevel="0" collapsed="false">
      <c r="A23" s="52" t="s">
        <v>306</v>
      </c>
      <c r="B23" s="52"/>
      <c r="C23" s="52"/>
      <c r="D23" s="52"/>
      <c r="E23" s="52"/>
      <c r="F23" s="52"/>
      <c r="G23" s="52"/>
      <c r="H23" s="52"/>
      <c r="I23" s="52"/>
      <c r="J23" s="52"/>
    </row>
    <row r="24" customFormat="false" ht="14.25" hidden="false" customHeight="false" outlineLevel="0" collapsed="false">
      <c r="A24" s="59" t="s">
        <v>307</v>
      </c>
      <c r="B24" s="59"/>
      <c r="C24" s="59"/>
      <c r="D24" s="59"/>
      <c r="E24" s="59"/>
      <c r="F24" s="59"/>
      <c r="G24" s="59"/>
      <c r="H24" s="59"/>
      <c r="I24" s="59"/>
      <c r="J24" s="59"/>
    </row>
    <row r="25" customFormat="false" ht="27.75" hidden="false" customHeight="true" outlineLevel="0" collapsed="false">
      <c r="A25" s="60" t="s">
        <v>308</v>
      </c>
      <c r="B25" s="60"/>
      <c r="C25" s="61" t="str">
        <f aca="false">"Siswa dengan nilai di bawah KKM ("&amp;NILAI_KKM&amp;"): "&amp;N_REMEDIAL&amp;" siswa, terdiri atas "&amp;E14&amp;" siswa remedial intensif dan "&amp;E15&amp;" siswa remedial terbimbing. Nama dan bentuk program tiap siswa ada pada bagian C."</f>
        <v>Siswa dengan nilai di bawah KKM (75): 25 siswa, terdiri atas 8 siswa remedial intensif dan 17 siswa remedial terbimbing. Nama dan bentuk program tiap siswa ada pada bagian C.</v>
      </c>
      <c r="D25" s="61"/>
      <c r="E25" s="61"/>
      <c r="F25" s="61"/>
      <c r="G25" s="61"/>
      <c r="H25" s="61"/>
      <c r="I25" s="61"/>
      <c r="J25" s="61"/>
    </row>
    <row r="26" customFormat="false" ht="15.75" hidden="false" customHeight="true" outlineLevel="0" collapsed="false">
      <c r="A26" s="60" t="s">
        <v>309</v>
      </c>
      <c r="B26" s="60"/>
      <c r="C26" s="61" t="s">
        <v>310</v>
      </c>
      <c r="D26" s="61"/>
      <c r="E26" s="61"/>
      <c r="F26" s="61"/>
      <c r="G26" s="61"/>
      <c r="H26" s="61"/>
      <c r="I26" s="61"/>
      <c r="J26" s="61"/>
    </row>
    <row r="27" customFormat="false" ht="27.75" hidden="false" customHeight="true" outlineLevel="0" collapsed="false">
      <c r="A27" s="60" t="s">
        <v>311</v>
      </c>
      <c r="B27" s="60"/>
      <c r="C27" s="61" t="str">
        <f aca="false">IF(E20=0,"Tidak ada butir prioritas.","Butir nomor "&amp;_xlfn.TEXTJOIN(", ",TRUE(),$L$96:$L$135)&amp;" (persentase benar kelompok remedial di bawah "&amp;TEXT(BATAS_BAHAS_ULANG,"0%")&amp;").")</f>
        <v>Butir nomor 5, 6, 7, 9, 10, 11, 12, 14, 15, 16, 18, 21, 26, 27, 28, 29, 30, 33, 35, 36, 37, 38 (persentase benar kelompok remedial di bawah 60%).</v>
      </c>
      <c r="D27" s="61"/>
      <c r="E27" s="61"/>
      <c r="F27" s="61"/>
      <c r="G27" s="61"/>
      <c r="H27" s="61"/>
      <c r="I27" s="61"/>
      <c r="J27" s="61"/>
    </row>
    <row r="28" customFormat="false" ht="27.75" hidden="false" customHeight="true" outlineLevel="0" collapsed="false">
      <c r="A28" s="60" t="s">
        <v>312</v>
      </c>
      <c r="B28" s="60"/>
      <c r="C28" s="61" t="str">
        <f aca="false">IF(E20=0,"-",IF(_xlfn.TEXTJOIN("; ",TRUE(),$M$96:$M$135)="","Materi/indikator belum diisi. Isi kolom C pada sheet KUNCI agar materi remedial muncul di sini.",_xlfn.TEXTJOIN("; ",TRUE(),$M$96:$M$135)))</f>
        <v>Materi/indikator belum diisi. Isi kolom C pada sheet KUNCI agar materi remedial muncul di sini.</v>
      </c>
      <c r="D28" s="61"/>
      <c r="E28" s="61"/>
      <c r="F28" s="61"/>
      <c r="G28" s="61"/>
      <c r="H28" s="61"/>
      <c r="I28" s="61"/>
      <c r="J28" s="61"/>
    </row>
    <row r="29" customFormat="false" ht="27.75" hidden="false" customHeight="true" outlineLevel="0" collapsed="false">
      <c r="A29" s="60" t="s">
        <v>313</v>
      </c>
      <c r="B29" s="60"/>
      <c r="C29" s="61" t="str">
        <f aca="false">IF(E21=0,"Tidak ada.","Butir nomor "&amp;_xlfn.TEXTJOIN(", ",TRUE(),$N$96:$N$135)&amp;" berstatus Diganti/Dibuang pada ANALISIS. Periksa kunci dan redaksi soal sebelum dijadikan bahan remedial.")</f>
        <v>Butir nomor 1, 3, 17, 19, 39 berstatus Diganti/Dibuang pada ANALISIS. Periksa kunci dan redaksi soal sebelum dijadikan bahan remedial.</v>
      </c>
      <c r="D29" s="61"/>
      <c r="E29" s="61"/>
      <c r="F29" s="61"/>
      <c r="G29" s="61"/>
      <c r="H29" s="61"/>
      <c r="I29" s="61"/>
      <c r="J29" s="61"/>
    </row>
    <row r="30" customFormat="false" ht="42" hidden="false" customHeight="true" outlineLevel="0" collapsed="false">
      <c r="A30" s="60" t="s">
        <v>314</v>
      </c>
      <c r="B30" s="60"/>
      <c r="C30" s="61" t="s">
        <v>315</v>
      </c>
      <c r="D30" s="61"/>
      <c r="E30" s="61"/>
      <c r="F30" s="61"/>
      <c r="G30" s="61"/>
      <c r="H30" s="61"/>
      <c r="I30" s="61"/>
      <c r="J30" s="61"/>
    </row>
    <row r="31" customFormat="false" ht="15.75" hidden="false" customHeight="true" outlineLevel="0" collapsed="false">
      <c r="A31" s="60" t="s">
        <v>316</v>
      </c>
      <c r="B31" s="60"/>
      <c r="C31" s="62" t="s">
        <v>317</v>
      </c>
      <c r="D31" s="62"/>
      <c r="E31" s="62"/>
      <c r="F31" s="62"/>
      <c r="G31" s="62"/>
      <c r="H31" s="62"/>
      <c r="I31" s="62"/>
      <c r="J31" s="62"/>
    </row>
    <row r="32" customFormat="false" ht="30" hidden="false" customHeight="true" outlineLevel="0" collapsed="false">
      <c r="A32" s="60" t="s">
        <v>318</v>
      </c>
      <c r="B32" s="60"/>
      <c r="C32" s="61" t="str">
        <f aca="false">"Tes ulang pada butir/materi yang belum tuntas; hasilnya dicatat pada kolom Nilai Setelah Remedial (bagian C). Target: seluruh siswa remedial mencapai nilai &gt;= "&amp;NILAI_KKM&amp;". Hasil sementara: "&amp;COUNTIF($J$43:$J$92,"Tuntas")&amp;" dari "&amp;N_REMEDIAL&amp;" siswa remedial telah tuntas."</f>
        <v>Tes ulang pada butir/materi yang belum tuntas; hasilnya dicatat pada kolom Nilai Setelah Remedial (bagian C). Target: seluruh siswa remedial mencapai nilai &gt;= 75. Hasil sementara: 0 dari 25 siswa remedial telah tuntas.</v>
      </c>
      <c r="D32" s="61"/>
      <c r="E32" s="61"/>
      <c r="F32" s="61"/>
      <c r="G32" s="61"/>
      <c r="H32" s="61"/>
      <c r="I32" s="61"/>
      <c r="J32" s="61"/>
    </row>
    <row r="33" customFormat="false" ht="14.25" hidden="false" customHeight="false" outlineLevel="0" collapsed="false">
      <c r="A33" s="59" t="s">
        <v>319</v>
      </c>
      <c r="B33" s="59"/>
      <c r="C33" s="59"/>
      <c r="D33" s="59"/>
      <c r="E33" s="59"/>
      <c r="F33" s="59"/>
      <c r="G33" s="59"/>
      <c r="H33" s="59"/>
      <c r="I33" s="59"/>
      <c r="J33" s="59"/>
    </row>
    <row r="34" customFormat="false" ht="27.75" hidden="false" customHeight="true" outlineLevel="0" collapsed="false">
      <c r="A34" s="60" t="s">
        <v>308</v>
      </c>
      <c r="B34" s="60"/>
      <c r="C34" s="61" t="str">
        <f aca="false">"Siswa dengan nilai &gt;= KKM ("&amp;NILAI_KKM&amp;"): "&amp;N_PENGAYAAN&amp;" siswa, terdiri atas "&amp;E16&amp;" siswa pengayaan lanjut dan "&amp;E17&amp;" siswa pengayaan dasar. Nama dan bentuk program tiap siswa ada pada bagian C."</f>
        <v>Siswa dengan nilai &gt;= KKM (75): 6 siswa, terdiri atas 6 siswa pengayaan lanjut dan 0 siswa pengayaan dasar. Nama dan bentuk program tiap siswa ada pada bagian C.</v>
      </c>
      <c r="D34" s="61"/>
      <c r="E34" s="61"/>
      <c r="F34" s="61"/>
      <c r="G34" s="61"/>
      <c r="H34" s="61"/>
      <c r="I34" s="61"/>
      <c r="J34" s="61"/>
    </row>
    <row r="35" customFormat="false" ht="15.75" hidden="false" customHeight="true" outlineLevel="0" collapsed="false">
      <c r="A35" s="60" t="s">
        <v>309</v>
      </c>
      <c r="B35" s="60"/>
      <c r="C35" s="61" t="s">
        <v>320</v>
      </c>
      <c r="D35" s="61"/>
      <c r="E35" s="61"/>
      <c r="F35" s="61"/>
      <c r="G35" s="61"/>
      <c r="H35" s="61"/>
      <c r="I35" s="61"/>
      <c r="J35" s="61"/>
    </row>
    <row r="36" customFormat="false" ht="42" hidden="false" customHeight="true" outlineLevel="0" collapsed="false">
      <c r="A36" s="60" t="s">
        <v>314</v>
      </c>
      <c r="B36" s="60"/>
      <c r="C36" s="61" t="s">
        <v>321</v>
      </c>
      <c r="D36" s="61"/>
      <c r="E36" s="61"/>
      <c r="F36" s="61"/>
      <c r="G36" s="61"/>
      <c r="H36" s="61"/>
      <c r="I36" s="61"/>
      <c r="J36" s="61"/>
    </row>
    <row r="37" customFormat="false" ht="27.75" hidden="false" customHeight="true" outlineLevel="0" collapsed="false">
      <c r="A37" s="60" t="s">
        <v>322</v>
      </c>
      <c r="B37" s="60"/>
      <c r="C37" s="61" t="s">
        <v>323</v>
      </c>
      <c r="D37" s="61"/>
      <c r="E37" s="61"/>
      <c r="F37" s="61"/>
      <c r="G37" s="61"/>
      <c r="H37" s="61"/>
      <c r="I37" s="61"/>
      <c r="J37" s="61"/>
    </row>
    <row r="38" customFormat="false" ht="15.75" hidden="false" customHeight="true" outlineLevel="0" collapsed="false">
      <c r="A38" s="60" t="s">
        <v>316</v>
      </c>
      <c r="B38" s="60"/>
      <c r="C38" s="62" t="s">
        <v>324</v>
      </c>
      <c r="D38" s="62"/>
      <c r="E38" s="62"/>
      <c r="F38" s="62"/>
      <c r="G38" s="62"/>
      <c r="H38" s="62"/>
      <c r="I38" s="62"/>
      <c r="J38" s="62"/>
    </row>
    <row r="39" customFormat="false" ht="27.75" hidden="false" customHeight="true" outlineLevel="0" collapsed="false">
      <c r="A39" s="60" t="s">
        <v>325</v>
      </c>
      <c r="B39" s="60"/>
      <c r="C39" s="61" t="s">
        <v>326</v>
      </c>
      <c r="D39" s="61"/>
      <c r="E39" s="61"/>
      <c r="F39" s="61"/>
      <c r="G39" s="61"/>
      <c r="H39" s="61"/>
      <c r="I39" s="61"/>
      <c r="J39" s="61"/>
    </row>
    <row r="41" customFormat="false" ht="14.25" hidden="false" customHeight="false" outlineLevel="0" collapsed="false">
      <c r="A41" s="52" t="s">
        <v>327</v>
      </c>
      <c r="B41" s="52"/>
      <c r="C41" s="52"/>
      <c r="D41" s="52"/>
      <c r="E41" s="52"/>
      <c r="F41" s="52"/>
      <c r="G41" s="52"/>
      <c r="H41" s="52"/>
      <c r="I41" s="52"/>
      <c r="J41" s="52"/>
      <c r="L41" s="21" t="s">
        <v>328</v>
      </c>
    </row>
    <row r="42" customFormat="false" ht="30" hidden="false" customHeight="true" outlineLevel="0" collapsed="false">
      <c r="A42" s="63" t="s">
        <v>47</v>
      </c>
      <c r="B42" s="63" t="s">
        <v>108</v>
      </c>
      <c r="C42" s="63" t="s">
        <v>69</v>
      </c>
      <c r="D42" s="63" t="s">
        <v>175</v>
      </c>
      <c r="E42" s="63" t="s">
        <v>329</v>
      </c>
      <c r="F42" s="63" t="s">
        <v>330</v>
      </c>
      <c r="G42" s="63" t="s">
        <v>331</v>
      </c>
      <c r="H42" s="63" t="s">
        <v>332</v>
      </c>
      <c r="I42" s="63" t="s">
        <v>333</v>
      </c>
      <c r="J42" s="63" t="s">
        <v>334</v>
      </c>
      <c r="L42" s="64" t="n">
        <f aca="false">SKOR!E$5</f>
        <v>1</v>
      </c>
      <c r="M42" s="64" t="n">
        <f aca="false">SKOR!F$5</f>
        <v>2</v>
      </c>
      <c r="N42" s="64" t="n">
        <f aca="false">SKOR!G$5</f>
        <v>3</v>
      </c>
      <c r="O42" s="64" t="n">
        <f aca="false">SKOR!H$5</f>
        <v>4</v>
      </c>
      <c r="P42" s="64" t="n">
        <f aca="false">SKOR!I$5</f>
        <v>5</v>
      </c>
      <c r="Q42" s="64" t="n">
        <f aca="false">SKOR!J$5</f>
        <v>6</v>
      </c>
      <c r="R42" s="64" t="n">
        <f aca="false">SKOR!K$5</f>
        <v>7</v>
      </c>
      <c r="S42" s="64" t="n">
        <f aca="false">SKOR!L$5</f>
        <v>8</v>
      </c>
      <c r="T42" s="64" t="n">
        <f aca="false">SKOR!M$5</f>
        <v>9</v>
      </c>
      <c r="U42" s="64" t="n">
        <f aca="false">SKOR!N$5</f>
        <v>10</v>
      </c>
      <c r="V42" s="64" t="n">
        <f aca="false">SKOR!O$5</f>
        <v>11</v>
      </c>
      <c r="W42" s="64" t="n">
        <f aca="false">SKOR!P$5</f>
        <v>12</v>
      </c>
      <c r="X42" s="64" t="n">
        <f aca="false">SKOR!Q$5</f>
        <v>13</v>
      </c>
      <c r="Y42" s="64" t="n">
        <f aca="false">SKOR!R$5</f>
        <v>14</v>
      </c>
      <c r="Z42" s="64" t="n">
        <f aca="false">SKOR!S$5</f>
        <v>15</v>
      </c>
      <c r="AA42" s="64" t="n">
        <f aca="false">SKOR!T$5</f>
        <v>16</v>
      </c>
      <c r="AB42" s="64" t="n">
        <f aca="false">SKOR!U$5</f>
        <v>17</v>
      </c>
      <c r="AC42" s="64" t="n">
        <f aca="false">SKOR!V$5</f>
        <v>18</v>
      </c>
      <c r="AD42" s="64" t="n">
        <f aca="false">SKOR!W$5</f>
        <v>19</v>
      </c>
      <c r="AE42" s="64" t="n">
        <f aca="false">SKOR!X$5</f>
        <v>20</v>
      </c>
      <c r="AF42" s="64" t="n">
        <f aca="false">SKOR!Y$5</f>
        <v>21</v>
      </c>
      <c r="AG42" s="64" t="n">
        <f aca="false">SKOR!Z$5</f>
        <v>22</v>
      </c>
      <c r="AH42" s="64" t="n">
        <f aca="false">SKOR!AA$5</f>
        <v>23</v>
      </c>
      <c r="AI42" s="64" t="n">
        <f aca="false">SKOR!AB$5</f>
        <v>24</v>
      </c>
      <c r="AJ42" s="64" t="n">
        <f aca="false">SKOR!AC$5</f>
        <v>25</v>
      </c>
      <c r="AK42" s="64" t="n">
        <f aca="false">SKOR!AD$5</f>
        <v>26</v>
      </c>
      <c r="AL42" s="64" t="n">
        <f aca="false">SKOR!AE$5</f>
        <v>27</v>
      </c>
      <c r="AM42" s="64" t="n">
        <f aca="false">SKOR!AF$5</f>
        <v>28</v>
      </c>
      <c r="AN42" s="64" t="n">
        <f aca="false">SKOR!AG$5</f>
        <v>29</v>
      </c>
      <c r="AO42" s="64" t="n">
        <f aca="false">SKOR!AH$5</f>
        <v>30</v>
      </c>
      <c r="AP42" s="64" t="n">
        <f aca="false">SKOR!AI$5</f>
        <v>31</v>
      </c>
      <c r="AQ42" s="64" t="n">
        <f aca="false">SKOR!AJ$5</f>
        <v>32</v>
      </c>
      <c r="AR42" s="64" t="n">
        <f aca="false">SKOR!AK$5</f>
        <v>33</v>
      </c>
      <c r="AS42" s="64" t="n">
        <f aca="false">SKOR!AL$5</f>
        <v>34</v>
      </c>
      <c r="AT42" s="64" t="n">
        <f aca="false">SKOR!AM$5</f>
        <v>35</v>
      </c>
      <c r="AU42" s="64" t="n">
        <f aca="false">SKOR!AN$5</f>
        <v>36</v>
      </c>
      <c r="AV42" s="64" t="n">
        <f aca="false">SKOR!AO$5</f>
        <v>37</v>
      </c>
      <c r="AW42" s="64" t="n">
        <f aca="false">SKOR!AP$5</f>
        <v>38</v>
      </c>
      <c r="AX42" s="64" t="n">
        <f aca="false">SKOR!AQ$5</f>
        <v>39</v>
      </c>
      <c r="AY42" s="64" t="n">
        <f aca="false">SKOR!AR$5</f>
        <v>40</v>
      </c>
    </row>
    <row r="43" customFormat="false" ht="24.75" hidden="false" customHeight="true" outlineLevel="0" collapsed="false">
      <c r="A43" s="65" t="n">
        <f aca="false">NILAI!A6</f>
        <v>1</v>
      </c>
      <c r="B43" s="66" t="str">
        <f aca="false">NILAI!B6</f>
        <v>SISWA 01</v>
      </c>
      <c r="C43" s="65" t="str">
        <f aca="false">NILAI!C6</f>
        <v>IX G</v>
      </c>
      <c r="D43" s="56" t="n">
        <f aca="false">NILAI!F6</f>
        <v>35</v>
      </c>
      <c r="E43" s="67" t="n">
        <f aca="false">IF(D43="","",D43-NILAI_KKM)</f>
        <v>-40</v>
      </c>
      <c r="F43" s="68" t="str">
        <f aca="false">IF(D43="","",IF(D43&lt;NILAI_KKM,"Remedial","Pengayaan"))</f>
        <v>Remedial</v>
      </c>
      <c r="G43" s="66" t="str">
        <f aca="false">IF(F43="","",IF(F43="Remedial",IF(D43&lt;BATAS_INTENSIF,"Remedial intensif: pembelajaran ulang + tes ulang","Remedial terbimbing: bahas butir salah + tes ulang"),IF(NILAI!I6="Atas","Pengayaan lanjut: tutor sebaya + soal HOTS","Pengayaan dasar: pendalaman + proyek")))</f>
        <v>Remedial intensif: pembelajaran ulang + tes ulang</v>
      </c>
      <c r="H43" s="66" t="str">
        <f aca="false">IF(F43="","",IF(F43="Pengayaan","-",IF(_xlfn.TEXTJOIN(", ",TRUE(),$L43:$AY43)="","-",_xlfn.TEXTJOIN(", ",TRUE(),$L43:$AY43))))</f>
        <v>2, 4, 6, 7, 9, 10, 11, 12, 14, 15, 16, 18, 19, 20, 23, 24, 25, 27, 28, 31, 32, 33, 35, 37, 39, 40</v>
      </c>
      <c r="I43" s="69"/>
      <c r="J43" s="65" t="str">
        <f aca="false">IF(OR(F43&lt;&gt;"Remedial",I43=""),"",IF(I43&gt;=NILAI_KKM,"Tuntas","Belum tuntas"))</f>
        <v/>
      </c>
      <c r="L43" s="70" t="str">
        <f aca="false">IF(AND(ISNUMBER(SKOR!E6),SKOR!E6=0),SKOR!E$5,"")</f>
        <v/>
      </c>
      <c r="M43" s="70" t="n">
        <f aca="false">IF(AND(ISNUMBER(SKOR!F6),SKOR!F6=0),SKOR!F$5,"")</f>
        <v>2</v>
      </c>
      <c r="N43" s="70" t="str">
        <f aca="false">IF(AND(ISNUMBER(SKOR!G6),SKOR!G6=0),SKOR!G$5,"")</f>
        <v/>
      </c>
      <c r="O43" s="70" t="n">
        <f aca="false">IF(AND(ISNUMBER(SKOR!H6),SKOR!H6=0),SKOR!H$5,"")</f>
        <v>4</v>
      </c>
      <c r="P43" s="70" t="str">
        <f aca="false">IF(AND(ISNUMBER(SKOR!I6),SKOR!I6=0),SKOR!I$5,"")</f>
        <v/>
      </c>
      <c r="Q43" s="70" t="n">
        <f aca="false">IF(AND(ISNUMBER(SKOR!J6),SKOR!J6=0),SKOR!J$5,"")</f>
        <v>6</v>
      </c>
      <c r="R43" s="70" t="n">
        <f aca="false">IF(AND(ISNUMBER(SKOR!K6),SKOR!K6=0),SKOR!K$5,"")</f>
        <v>7</v>
      </c>
      <c r="S43" s="70" t="str">
        <f aca="false">IF(AND(ISNUMBER(SKOR!L6),SKOR!L6=0),SKOR!L$5,"")</f>
        <v/>
      </c>
      <c r="T43" s="70" t="n">
        <f aca="false">IF(AND(ISNUMBER(SKOR!M6),SKOR!M6=0),SKOR!M$5,"")</f>
        <v>9</v>
      </c>
      <c r="U43" s="70" t="n">
        <f aca="false">IF(AND(ISNUMBER(SKOR!N6),SKOR!N6=0),SKOR!N$5,"")</f>
        <v>10</v>
      </c>
      <c r="V43" s="70" t="n">
        <f aca="false">IF(AND(ISNUMBER(SKOR!O6),SKOR!O6=0),SKOR!O$5,"")</f>
        <v>11</v>
      </c>
      <c r="W43" s="70" t="n">
        <f aca="false">IF(AND(ISNUMBER(SKOR!P6),SKOR!P6=0),SKOR!P$5,"")</f>
        <v>12</v>
      </c>
      <c r="X43" s="70" t="str">
        <f aca="false">IF(AND(ISNUMBER(SKOR!Q6),SKOR!Q6=0),SKOR!Q$5,"")</f>
        <v/>
      </c>
      <c r="Y43" s="70" t="n">
        <f aca="false">IF(AND(ISNUMBER(SKOR!R6),SKOR!R6=0),SKOR!R$5,"")</f>
        <v>14</v>
      </c>
      <c r="Z43" s="70" t="n">
        <f aca="false">IF(AND(ISNUMBER(SKOR!S6),SKOR!S6=0),SKOR!S$5,"")</f>
        <v>15</v>
      </c>
      <c r="AA43" s="70" t="n">
        <f aca="false">IF(AND(ISNUMBER(SKOR!T6),SKOR!T6=0),SKOR!T$5,"")</f>
        <v>16</v>
      </c>
      <c r="AB43" s="70" t="str">
        <f aca="false">IF(AND(ISNUMBER(SKOR!U6),SKOR!U6=0),SKOR!U$5,"")</f>
        <v/>
      </c>
      <c r="AC43" s="70" t="n">
        <f aca="false">IF(AND(ISNUMBER(SKOR!V6),SKOR!V6=0),SKOR!V$5,"")</f>
        <v>18</v>
      </c>
      <c r="AD43" s="70" t="n">
        <f aca="false">IF(AND(ISNUMBER(SKOR!W6),SKOR!W6=0),SKOR!W$5,"")</f>
        <v>19</v>
      </c>
      <c r="AE43" s="70" t="n">
        <f aca="false">IF(AND(ISNUMBER(SKOR!X6),SKOR!X6=0),SKOR!X$5,"")</f>
        <v>20</v>
      </c>
      <c r="AF43" s="70" t="str">
        <f aca="false">IF(AND(ISNUMBER(SKOR!Y6),SKOR!Y6=0),SKOR!Y$5,"")</f>
        <v/>
      </c>
      <c r="AG43" s="70" t="str">
        <f aca="false">IF(AND(ISNUMBER(SKOR!Z6),SKOR!Z6=0),SKOR!Z$5,"")</f>
        <v/>
      </c>
      <c r="AH43" s="70" t="n">
        <f aca="false">IF(AND(ISNUMBER(SKOR!AA6),SKOR!AA6=0),SKOR!AA$5,"")</f>
        <v>23</v>
      </c>
      <c r="AI43" s="70" t="n">
        <f aca="false">IF(AND(ISNUMBER(SKOR!AB6),SKOR!AB6=0),SKOR!AB$5,"")</f>
        <v>24</v>
      </c>
      <c r="AJ43" s="70" t="n">
        <f aca="false">IF(AND(ISNUMBER(SKOR!AC6),SKOR!AC6=0),SKOR!AC$5,"")</f>
        <v>25</v>
      </c>
      <c r="AK43" s="70" t="str">
        <f aca="false">IF(AND(ISNUMBER(SKOR!AD6),SKOR!AD6=0),SKOR!AD$5,"")</f>
        <v/>
      </c>
      <c r="AL43" s="70" t="n">
        <f aca="false">IF(AND(ISNUMBER(SKOR!AE6),SKOR!AE6=0),SKOR!AE$5,"")</f>
        <v>27</v>
      </c>
      <c r="AM43" s="70" t="n">
        <f aca="false">IF(AND(ISNUMBER(SKOR!AF6),SKOR!AF6=0),SKOR!AF$5,"")</f>
        <v>28</v>
      </c>
      <c r="AN43" s="70" t="str">
        <f aca="false">IF(AND(ISNUMBER(SKOR!AG6),SKOR!AG6=0),SKOR!AG$5,"")</f>
        <v/>
      </c>
      <c r="AO43" s="70" t="str">
        <f aca="false">IF(AND(ISNUMBER(SKOR!AH6),SKOR!AH6=0),SKOR!AH$5,"")</f>
        <v/>
      </c>
      <c r="AP43" s="70" t="n">
        <f aca="false">IF(AND(ISNUMBER(SKOR!AI6),SKOR!AI6=0),SKOR!AI$5,"")</f>
        <v>31</v>
      </c>
      <c r="AQ43" s="70" t="n">
        <f aca="false">IF(AND(ISNUMBER(SKOR!AJ6),SKOR!AJ6=0),SKOR!AJ$5,"")</f>
        <v>32</v>
      </c>
      <c r="AR43" s="70" t="n">
        <f aca="false">IF(AND(ISNUMBER(SKOR!AK6),SKOR!AK6=0),SKOR!AK$5,"")</f>
        <v>33</v>
      </c>
      <c r="AS43" s="70" t="str">
        <f aca="false">IF(AND(ISNUMBER(SKOR!AL6),SKOR!AL6=0),SKOR!AL$5,"")</f>
        <v/>
      </c>
      <c r="AT43" s="70" t="n">
        <f aca="false">IF(AND(ISNUMBER(SKOR!AM6),SKOR!AM6=0),SKOR!AM$5,"")</f>
        <v>35</v>
      </c>
      <c r="AU43" s="70" t="str">
        <f aca="false">IF(AND(ISNUMBER(SKOR!AN6),SKOR!AN6=0),SKOR!AN$5,"")</f>
        <v/>
      </c>
      <c r="AV43" s="70" t="n">
        <f aca="false">IF(AND(ISNUMBER(SKOR!AO6),SKOR!AO6=0),SKOR!AO$5,"")</f>
        <v>37</v>
      </c>
      <c r="AW43" s="70" t="str">
        <f aca="false">IF(AND(ISNUMBER(SKOR!AP6),SKOR!AP6=0),SKOR!AP$5,"")</f>
        <v/>
      </c>
      <c r="AX43" s="70" t="n">
        <f aca="false">IF(AND(ISNUMBER(SKOR!AQ6),SKOR!AQ6=0),SKOR!AQ$5,"")</f>
        <v>39</v>
      </c>
      <c r="AY43" s="70" t="n">
        <f aca="false">IF(AND(ISNUMBER(SKOR!AR6),SKOR!AR6=0),SKOR!AR$5,"")</f>
        <v>40</v>
      </c>
    </row>
    <row r="44" customFormat="false" ht="24.75" hidden="false" customHeight="true" outlineLevel="0" collapsed="false">
      <c r="A44" s="65" t="n">
        <f aca="false">NILAI!A7</f>
        <v>2</v>
      </c>
      <c r="B44" s="66" t="str">
        <f aca="false">NILAI!B7</f>
        <v>SISWA 02</v>
      </c>
      <c r="C44" s="65" t="str">
        <f aca="false">NILAI!C7</f>
        <v>IX G</v>
      </c>
      <c r="D44" s="56" t="n">
        <f aca="false">NILAI!F7</f>
        <v>82.5</v>
      </c>
      <c r="E44" s="67" t="n">
        <f aca="false">IF(D44="","",D44-NILAI_KKM)</f>
        <v>7.5</v>
      </c>
      <c r="F44" s="68" t="str">
        <f aca="false">IF(D44="","",IF(D44&lt;NILAI_KKM,"Remedial","Pengayaan"))</f>
        <v>Pengayaan</v>
      </c>
      <c r="G44" s="66" t="str">
        <f aca="false">IF(F44="","",IF(F44="Remedial",IF(D44&lt;BATAS_INTENSIF,"Remedial intensif: pembelajaran ulang + tes ulang","Remedial terbimbing: bahas butir salah + tes ulang"),IF(NILAI!I7="Atas","Pengayaan lanjut: tutor sebaya + soal HOTS","Pengayaan dasar: pendalaman + proyek")))</f>
        <v>Pengayaan lanjut: tutor sebaya + soal HOTS</v>
      </c>
      <c r="H44" s="66" t="str">
        <f aca="false">IF(F44="","",IF(F44="Pengayaan","-",IF(_xlfn.TEXTJOIN(", ",TRUE(),$L44:$AY44)="","-",_xlfn.TEXTJOIN(", ",TRUE(),$L44:$AY44))))</f>
        <v>-</v>
      </c>
      <c r="I44" s="69"/>
      <c r="J44" s="65" t="str">
        <f aca="false">IF(OR(F44&lt;&gt;"Remedial",I44=""),"",IF(I44&gt;=NILAI_KKM,"Tuntas","Belum tuntas"))</f>
        <v/>
      </c>
      <c r="L44" s="70" t="n">
        <f aca="false">IF(AND(ISNUMBER(SKOR!E7),SKOR!E7=0),SKOR!E$5,"")</f>
        <v>1</v>
      </c>
      <c r="M44" s="70" t="str">
        <f aca="false">IF(AND(ISNUMBER(SKOR!F7),SKOR!F7=0),SKOR!F$5,"")</f>
        <v/>
      </c>
      <c r="N44" s="70" t="n">
        <f aca="false">IF(AND(ISNUMBER(SKOR!G7),SKOR!G7=0),SKOR!G$5,"")</f>
        <v>3</v>
      </c>
      <c r="O44" s="70" t="str">
        <f aca="false">IF(AND(ISNUMBER(SKOR!H7),SKOR!H7=0),SKOR!H$5,"")</f>
        <v/>
      </c>
      <c r="P44" s="70" t="str">
        <f aca="false">IF(AND(ISNUMBER(SKOR!I7),SKOR!I7=0),SKOR!I$5,"")</f>
        <v/>
      </c>
      <c r="Q44" s="70" t="str">
        <f aca="false">IF(AND(ISNUMBER(SKOR!J7),SKOR!J7=0),SKOR!J$5,"")</f>
        <v/>
      </c>
      <c r="R44" s="70" t="str">
        <f aca="false">IF(AND(ISNUMBER(SKOR!K7),SKOR!K7=0),SKOR!K$5,"")</f>
        <v/>
      </c>
      <c r="S44" s="70" t="str">
        <f aca="false">IF(AND(ISNUMBER(SKOR!L7),SKOR!L7=0),SKOR!L$5,"")</f>
        <v/>
      </c>
      <c r="T44" s="70" t="str">
        <f aca="false">IF(AND(ISNUMBER(SKOR!M7),SKOR!M7=0),SKOR!M$5,"")</f>
        <v/>
      </c>
      <c r="U44" s="70" t="n">
        <f aca="false">IF(AND(ISNUMBER(SKOR!N7),SKOR!N7=0),SKOR!N$5,"")</f>
        <v>10</v>
      </c>
      <c r="V44" s="70" t="str">
        <f aca="false">IF(AND(ISNUMBER(SKOR!O7),SKOR!O7=0),SKOR!O$5,"")</f>
        <v/>
      </c>
      <c r="W44" s="70" t="str">
        <f aca="false">IF(AND(ISNUMBER(SKOR!P7),SKOR!P7=0),SKOR!P$5,"")</f>
        <v/>
      </c>
      <c r="X44" s="70" t="str">
        <f aca="false">IF(AND(ISNUMBER(SKOR!Q7),SKOR!Q7=0),SKOR!Q$5,"")</f>
        <v/>
      </c>
      <c r="Y44" s="70" t="str">
        <f aca="false">IF(AND(ISNUMBER(SKOR!R7),SKOR!R7=0),SKOR!R$5,"")</f>
        <v/>
      </c>
      <c r="Z44" s="70" t="str">
        <f aca="false">IF(AND(ISNUMBER(SKOR!S7),SKOR!S7=0),SKOR!S$5,"")</f>
        <v/>
      </c>
      <c r="AA44" s="70" t="str">
        <f aca="false">IF(AND(ISNUMBER(SKOR!T7),SKOR!T7=0),SKOR!T$5,"")</f>
        <v/>
      </c>
      <c r="AB44" s="70" t="str">
        <f aca="false">IF(AND(ISNUMBER(SKOR!U7),SKOR!U7=0),SKOR!U$5,"")</f>
        <v/>
      </c>
      <c r="AC44" s="70" t="str">
        <f aca="false">IF(AND(ISNUMBER(SKOR!V7),SKOR!V7=0),SKOR!V$5,"")</f>
        <v/>
      </c>
      <c r="AD44" s="70" t="str">
        <f aca="false">IF(AND(ISNUMBER(SKOR!W7),SKOR!W7=0),SKOR!W$5,"")</f>
        <v/>
      </c>
      <c r="AE44" s="70" t="str">
        <f aca="false">IF(AND(ISNUMBER(SKOR!X7),SKOR!X7=0),SKOR!X$5,"")</f>
        <v/>
      </c>
      <c r="AF44" s="70" t="str">
        <f aca="false">IF(AND(ISNUMBER(SKOR!Y7),SKOR!Y7=0),SKOR!Y$5,"")</f>
        <v/>
      </c>
      <c r="AG44" s="70" t="str">
        <f aca="false">IF(AND(ISNUMBER(SKOR!Z7),SKOR!Z7=0),SKOR!Z$5,"")</f>
        <v/>
      </c>
      <c r="AH44" s="70" t="str">
        <f aca="false">IF(AND(ISNUMBER(SKOR!AA7),SKOR!AA7=0),SKOR!AA$5,"")</f>
        <v/>
      </c>
      <c r="AI44" s="70" t="str">
        <f aca="false">IF(AND(ISNUMBER(SKOR!AB7),SKOR!AB7=0),SKOR!AB$5,"")</f>
        <v/>
      </c>
      <c r="AJ44" s="70" t="str">
        <f aca="false">IF(AND(ISNUMBER(SKOR!AC7),SKOR!AC7=0),SKOR!AC$5,"")</f>
        <v/>
      </c>
      <c r="AK44" s="70" t="n">
        <f aca="false">IF(AND(ISNUMBER(SKOR!AD7),SKOR!AD7=0),SKOR!AD$5,"")</f>
        <v>26</v>
      </c>
      <c r="AL44" s="70" t="n">
        <f aca="false">IF(AND(ISNUMBER(SKOR!AE7),SKOR!AE7=0),SKOR!AE$5,"")</f>
        <v>27</v>
      </c>
      <c r="AM44" s="70" t="str">
        <f aca="false">IF(AND(ISNUMBER(SKOR!AF7),SKOR!AF7=0),SKOR!AF$5,"")</f>
        <v/>
      </c>
      <c r="AN44" s="70" t="str">
        <f aca="false">IF(AND(ISNUMBER(SKOR!AG7),SKOR!AG7=0),SKOR!AG$5,"")</f>
        <v/>
      </c>
      <c r="AO44" s="70" t="str">
        <f aca="false">IF(AND(ISNUMBER(SKOR!AH7),SKOR!AH7=0),SKOR!AH$5,"")</f>
        <v/>
      </c>
      <c r="AP44" s="70" t="n">
        <f aca="false">IF(AND(ISNUMBER(SKOR!AI7),SKOR!AI7=0),SKOR!AI$5,"")</f>
        <v>31</v>
      </c>
      <c r="AQ44" s="70" t="str">
        <f aca="false">IF(AND(ISNUMBER(SKOR!AJ7),SKOR!AJ7=0),SKOR!AJ$5,"")</f>
        <v/>
      </c>
      <c r="AR44" s="70" t="str">
        <f aca="false">IF(AND(ISNUMBER(SKOR!AK7),SKOR!AK7=0),SKOR!AK$5,"")</f>
        <v/>
      </c>
      <c r="AS44" s="70" t="str">
        <f aca="false">IF(AND(ISNUMBER(SKOR!AL7),SKOR!AL7=0),SKOR!AL$5,"")</f>
        <v/>
      </c>
      <c r="AT44" s="70" t="str">
        <f aca="false">IF(AND(ISNUMBER(SKOR!AM7),SKOR!AM7=0),SKOR!AM$5,"")</f>
        <v/>
      </c>
      <c r="AU44" s="70" t="str">
        <f aca="false">IF(AND(ISNUMBER(SKOR!AN7),SKOR!AN7=0),SKOR!AN$5,"")</f>
        <v/>
      </c>
      <c r="AV44" s="70" t="str">
        <f aca="false">IF(AND(ISNUMBER(SKOR!AO7),SKOR!AO7=0),SKOR!AO$5,"")</f>
        <v/>
      </c>
      <c r="AW44" s="70" t="n">
        <f aca="false">IF(AND(ISNUMBER(SKOR!AP7),SKOR!AP7=0),SKOR!AP$5,"")</f>
        <v>38</v>
      </c>
      <c r="AX44" s="70" t="str">
        <f aca="false">IF(AND(ISNUMBER(SKOR!AQ7),SKOR!AQ7=0),SKOR!AQ$5,"")</f>
        <v/>
      </c>
      <c r="AY44" s="70" t="str">
        <f aca="false">IF(AND(ISNUMBER(SKOR!AR7),SKOR!AR7=0),SKOR!AR$5,"")</f>
        <v/>
      </c>
    </row>
    <row r="45" customFormat="false" ht="24.75" hidden="false" customHeight="true" outlineLevel="0" collapsed="false">
      <c r="A45" s="65" t="n">
        <f aca="false">NILAI!A8</f>
        <v>3</v>
      </c>
      <c r="B45" s="66" t="str">
        <f aca="false">NILAI!B8</f>
        <v>SISWA 03</v>
      </c>
      <c r="C45" s="65" t="str">
        <f aca="false">NILAI!C8</f>
        <v>IX G</v>
      </c>
      <c r="D45" s="56" t="n">
        <f aca="false">NILAI!F8</f>
        <v>45</v>
      </c>
      <c r="E45" s="67" t="n">
        <f aca="false">IF(D45="","",D45-NILAI_KKM)</f>
        <v>-30</v>
      </c>
      <c r="F45" s="68" t="str">
        <f aca="false">IF(D45="","",IF(D45&lt;NILAI_KKM,"Remedial","Pengayaan"))</f>
        <v>Remedial</v>
      </c>
      <c r="G45" s="66" t="str">
        <f aca="false">IF(F45="","",IF(F45="Remedial",IF(D45&lt;BATAS_INTENSIF,"Remedial intensif: pembelajaran ulang + tes ulang","Remedial terbimbing: bahas butir salah + tes ulang"),IF(NILAI!I8="Atas","Pengayaan lanjut: tutor sebaya + soal HOTS","Pengayaan dasar: pendalaman + proyek")))</f>
        <v>Remedial intensif: pembelajaran ulang + tes ulang</v>
      </c>
      <c r="H45" s="66" t="str">
        <f aca="false">IF(F45="","",IF(F45="Pengayaan","-",IF(_xlfn.TEXTJOIN(", ",TRUE(),$L45:$AY45)="","-",_xlfn.TEXTJOIN(", ",TRUE(),$L45:$AY45))))</f>
        <v>1, 2, 3, 5, 6, 7, 10, 11, 15, 17, 18, 20, 21, 26, 28, 29, 30, 32, 33, 37, 38, 40</v>
      </c>
      <c r="I45" s="69"/>
      <c r="J45" s="65" t="str">
        <f aca="false">IF(OR(F45&lt;&gt;"Remedial",I45=""),"",IF(I45&gt;=NILAI_KKM,"Tuntas","Belum tuntas"))</f>
        <v/>
      </c>
      <c r="L45" s="70" t="n">
        <f aca="false">IF(AND(ISNUMBER(SKOR!E8),SKOR!E8=0),SKOR!E$5,"")</f>
        <v>1</v>
      </c>
      <c r="M45" s="70" t="n">
        <f aca="false">IF(AND(ISNUMBER(SKOR!F8),SKOR!F8=0),SKOR!F$5,"")</f>
        <v>2</v>
      </c>
      <c r="N45" s="70" t="n">
        <f aca="false">IF(AND(ISNUMBER(SKOR!G8),SKOR!G8=0),SKOR!G$5,"")</f>
        <v>3</v>
      </c>
      <c r="O45" s="70" t="str">
        <f aca="false">IF(AND(ISNUMBER(SKOR!H8),SKOR!H8=0),SKOR!H$5,"")</f>
        <v/>
      </c>
      <c r="P45" s="70" t="n">
        <f aca="false">IF(AND(ISNUMBER(SKOR!I8),SKOR!I8=0),SKOR!I$5,"")</f>
        <v>5</v>
      </c>
      <c r="Q45" s="70" t="n">
        <f aca="false">IF(AND(ISNUMBER(SKOR!J8),SKOR!J8=0),SKOR!J$5,"")</f>
        <v>6</v>
      </c>
      <c r="R45" s="70" t="n">
        <f aca="false">IF(AND(ISNUMBER(SKOR!K8),SKOR!K8=0),SKOR!K$5,"")</f>
        <v>7</v>
      </c>
      <c r="S45" s="70" t="str">
        <f aca="false">IF(AND(ISNUMBER(SKOR!L8),SKOR!L8=0),SKOR!L$5,"")</f>
        <v/>
      </c>
      <c r="T45" s="70" t="str">
        <f aca="false">IF(AND(ISNUMBER(SKOR!M8),SKOR!M8=0),SKOR!M$5,"")</f>
        <v/>
      </c>
      <c r="U45" s="70" t="n">
        <f aca="false">IF(AND(ISNUMBER(SKOR!N8),SKOR!N8=0),SKOR!N$5,"")</f>
        <v>10</v>
      </c>
      <c r="V45" s="70" t="n">
        <f aca="false">IF(AND(ISNUMBER(SKOR!O8),SKOR!O8=0),SKOR!O$5,"")</f>
        <v>11</v>
      </c>
      <c r="W45" s="70" t="str">
        <f aca="false">IF(AND(ISNUMBER(SKOR!P8),SKOR!P8=0),SKOR!P$5,"")</f>
        <v/>
      </c>
      <c r="X45" s="70" t="str">
        <f aca="false">IF(AND(ISNUMBER(SKOR!Q8),SKOR!Q8=0),SKOR!Q$5,"")</f>
        <v/>
      </c>
      <c r="Y45" s="70" t="str">
        <f aca="false">IF(AND(ISNUMBER(SKOR!R8),SKOR!R8=0),SKOR!R$5,"")</f>
        <v/>
      </c>
      <c r="Z45" s="70" t="n">
        <f aca="false">IF(AND(ISNUMBER(SKOR!S8),SKOR!S8=0),SKOR!S$5,"")</f>
        <v>15</v>
      </c>
      <c r="AA45" s="70" t="str">
        <f aca="false">IF(AND(ISNUMBER(SKOR!T8),SKOR!T8=0),SKOR!T$5,"")</f>
        <v/>
      </c>
      <c r="AB45" s="70" t="n">
        <f aca="false">IF(AND(ISNUMBER(SKOR!U8),SKOR!U8=0),SKOR!U$5,"")</f>
        <v>17</v>
      </c>
      <c r="AC45" s="70" t="n">
        <f aca="false">IF(AND(ISNUMBER(SKOR!V8),SKOR!V8=0),SKOR!V$5,"")</f>
        <v>18</v>
      </c>
      <c r="AD45" s="70" t="str">
        <f aca="false">IF(AND(ISNUMBER(SKOR!W8),SKOR!W8=0),SKOR!W$5,"")</f>
        <v/>
      </c>
      <c r="AE45" s="70" t="n">
        <f aca="false">IF(AND(ISNUMBER(SKOR!X8),SKOR!X8=0),SKOR!X$5,"")</f>
        <v>20</v>
      </c>
      <c r="AF45" s="70" t="n">
        <f aca="false">IF(AND(ISNUMBER(SKOR!Y8),SKOR!Y8=0),SKOR!Y$5,"")</f>
        <v>21</v>
      </c>
      <c r="AG45" s="70" t="str">
        <f aca="false">IF(AND(ISNUMBER(SKOR!Z8),SKOR!Z8=0),SKOR!Z$5,"")</f>
        <v/>
      </c>
      <c r="AH45" s="70" t="str">
        <f aca="false">IF(AND(ISNUMBER(SKOR!AA8),SKOR!AA8=0),SKOR!AA$5,"")</f>
        <v/>
      </c>
      <c r="AI45" s="70" t="str">
        <f aca="false">IF(AND(ISNUMBER(SKOR!AB8),SKOR!AB8=0),SKOR!AB$5,"")</f>
        <v/>
      </c>
      <c r="AJ45" s="70" t="str">
        <f aca="false">IF(AND(ISNUMBER(SKOR!AC8),SKOR!AC8=0),SKOR!AC$5,"")</f>
        <v/>
      </c>
      <c r="AK45" s="70" t="n">
        <f aca="false">IF(AND(ISNUMBER(SKOR!AD8),SKOR!AD8=0),SKOR!AD$5,"")</f>
        <v>26</v>
      </c>
      <c r="AL45" s="70" t="str">
        <f aca="false">IF(AND(ISNUMBER(SKOR!AE8),SKOR!AE8=0),SKOR!AE$5,"")</f>
        <v/>
      </c>
      <c r="AM45" s="70" t="n">
        <f aca="false">IF(AND(ISNUMBER(SKOR!AF8),SKOR!AF8=0),SKOR!AF$5,"")</f>
        <v>28</v>
      </c>
      <c r="AN45" s="70" t="n">
        <f aca="false">IF(AND(ISNUMBER(SKOR!AG8),SKOR!AG8=0),SKOR!AG$5,"")</f>
        <v>29</v>
      </c>
      <c r="AO45" s="70" t="n">
        <f aca="false">IF(AND(ISNUMBER(SKOR!AH8),SKOR!AH8=0),SKOR!AH$5,"")</f>
        <v>30</v>
      </c>
      <c r="AP45" s="70" t="str">
        <f aca="false">IF(AND(ISNUMBER(SKOR!AI8),SKOR!AI8=0),SKOR!AI$5,"")</f>
        <v/>
      </c>
      <c r="AQ45" s="70" t="n">
        <f aca="false">IF(AND(ISNUMBER(SKOR!AJ8),SKOR!AJ8=0),SKOR!AJ$5,"")</f>
        <v>32</v>
      </c>
      <c r="AR45" s="70" t="n">
        <f aca="false">IF(AND(ISNUMBER(SKOR!AK8),SKOR!AK8=0),SKOR!AK$5,"")</f>
        <v>33</v>
      </c>
      <c r="AS45" s="70" t="str">
        <f aca="false">IF(AND(ISNUMBER(SKOR!AL8),SKOR!AL8=0),SKOR!AL$5,"")</f>
        <v/>
      </c>
      <c r="AT45" s="70" t="str">
        <f aca="false">IF(AND(ISNUMBER(SKOR!AM8),SKOR!AM8=0),SKOR!AM$5,"")</f>
        <v/>
      </c>
      <c r="AU45" s="70" t="str">
        <f aca="false">IF(AND(ISNUMBER(SKOR!AN8),SKOR!AN8=0),SKOR!AN$5,"")</f>
        <v/>
      </c>
      <c r="AV45" s="70" t="n">
        <f aca="false">IF(AND(ISNUMBER(SKOR!AO8),SKOR!AO8=0),SKOR!AO$5,"")</f>
        <v>37</v>
      </c>
      <c r="AW45" s="70" t="n">
        <f aca="false">IF(AND(ISNUMBER(SKOR!AP8),SKOR!AP8=0),SKOR!AP$5,"")</f>
        <v>38</v>
      </c>
      <c r="AX45" s="70" t="str">
        <f aca="false">IF(AND(ISNUMBER(SKOR!AQ8),SKOR!AQ8=0),SKOR!AQ$5,"")</f>
        <v/>
      </c>
      <c r="AY45" s="70" t="n">
        <f aca="false">IF(AND(ISNUMBER(SKOR!AR8),SKOR!AR8=0),SKOR!AR$5,"")</f>
        <v>40</v>
      </c>
    </row>
    <row r="46" customFormat="false" ht="23.85" hidden="false" customHeight="false" outlineLevel="0" collapsed="false">
      <c r="A46" s="65" t="n">
        <f aca="false">NILAI!A9</f>
        <v>4</v>
      </c>
      <c r="B46" s="66" t="str">
        <f aca="false">NILAI!B9</f>
        <v>SISWA 04</v>
      </c>
      <c r="C46" s="65" t="str">
        <f aca="false">NILAI!C9</f>
        <v>IX G</v>
      </c>
      <c r="D46" s="56" t="n">
        <f aca="false">NILAI!F9</f>
        <v>50</v>
      </c>
      <c r="E46" s="67" t="n">
        <f aca="false">IF(D46="","",D46-NILAI_KKM)</f>
        <v>-25</v>
      </c>
      <c r="F46" s="68" t="str">
        <f aca="false">IF(D46="","",IF(D46&lt;NILAI_KKM,"Remedial","Pengayaan"))</f>
        <v>Remedial</v>
      </c>
      <c r="G46" s="66" t="str">
        <f aca="false">IF(F46="","",IF(F46="Remedial",IF(D46&lt;BATAS_INTENSIF,"Remedial intensif: pembelajaran ulang + tes ulang","Remedial terbimbing: bahas butir salah + tes ulang"),IF(NILAI!I9="Atas","Pengayaan lanjut: tutor sebaya + soal HOTS","Pengayaan dasar: pendalaman + proyek")))</f>
        <v>Remedial terbimbing: bahas butir salah + tes ulang</v>
      </c>
      <c r="H46" s="66" t="str">
        <f aca="false">IF(F46="","",IF(F46="Pengayaan","-",IF(_xlfn.TEXTJOIN(", ",TRUE(),$L46:$AY46)="","-",_xlfn.TEXTJOIN(", ",TRUE(),$L46:$AY46))))</f>
        <v>1, 2, 5, 6, 12, 14, 16, 19, 20, 24, 25, 26, 27, 28, 29, 33, 35, 36, 38, 39</v>
      </c>
      <c r="I46" s="69"/>
      <c r="J46" s="65" t="str">
        <f aca="false">IF(OR(F46&lt;&gt;"Remedial",I46=""),"",IF(I46&gt;=NILAI_KKM,"Tuntas","Belum tuntas"))</f>
        <v/>
      </c>
      <c r="L46" s="70" t="n">
        <f aca="false">IF(AND(ISNUMBER(SKOR!E9),SKOR!E9=0),SKOR!E$5,"")</f>
        <v>1</v>
      </c>
      <c r="M46" s="70" t="n">
        <f aca="false">IF(AND(ISNUMBER(SKOR!F9),SKOR!F9=0),SKOR!F$5,"")</f>
        <v>2</v>
      </c>
      <c r="N46" s="70" t="str">
        <f aca="false">IF(AND(ISNUMBER(SKOR!G9),SKOR!G9=0),SKOR!G$5,"")</f>
        <v/>
      </c>
      <c r="O46" s="70" t="str">
        <f aca="false">IF(AND(ISNUMBER(SKOR!H9),SKOR!H9=0),SKOR!H$5,"")</f>
        <v/>
      </c>
      <c r="P46" s="70" t="n">
        <f aca="false">IF(AND(ISNUMBER(SKOR!I9),SKOR!I9=0),SKOR!I$5,"")</f>
        <v>5</v>
      </c>
      <c r="Q46" s="70" t="n">
        <f aca="false">IF(AND(ISNUMBER(SKOR!J9),SKOR!J9=0),SKOR!J$5,"")</f>
        <v>6</v>
      </c>
      <c r="R46" s="70" t="str">
        <f aca="false">IF(AND(ISNUMBER(SKOR!K9),SKOR!K9=0),SKOR!K$5,"")</f>
        <v/>
      </c>
      <c r="S46" s="70" t="str">
        <f aca="false">IF(AND(ISNUMBER(SKOR!L9),SKOR!L9=0),SKOR!L$5,"")</f>
        <v/>
      </c>
      <c r="T46" s="70" t="str">
        <f aca="false">IF(AND(ISNUMBER(SKOR!M9),SKOR!M9=0),SKOR!M$5,"")</f>
        <v/>
      </c>
      <c r="U46" s="70" t="str">
        <f aca="false">IF(AND(ISNUMBER(SKOR!N9),SKOR!N9=0),SKOR!N$5,"")</f>
        <v/>
      </c>
      <c r="V46" s="70" t="str">
        <f aca="false">IF(AND(ISNUMBER(SKOR!O9),SKOR!O9=0),SKOR!O$5,"")</f>
        <v/>
      </c>
      <c r="W46" s="70" t="n">
        <f aca="false">IF(AND(ISNUMBER(SKOR!P9),SKOR!P9=0),SKOR!P$5,"")</f>
        <v>12</v>
      </c>
      <c r="X46" s="70" t="str">
        <f aca="false">IF(AND(ISNUMBER(SKOR!Q9),SKOR!Q9=0),SKOR!Q$5,"")</f>
        <v/>
      </c>
      <c r="Y46" s="70" t="n">
        <f aca="false">IF(AND(ISNUMBER(SKOR!R9),SKOR!R9=0),SKOR!R$5,"")</f>
        <v>14</v>
      </c>
      <c r="Z46" s="70" t="str">
        <f aca="false">IF(AND(ISNUMBER(SKOR!S9),SKOR!S9=0),SKOR!S$5,"")</f>
        <v/>
      </c>
      <c r="AA46" s="70" t="n">
        <f aca="false">IF(AND(ISNUMBER(SKOR!T9),SKOR!T9=0),SKOR!T$5,"")</f>
        <v>16</v>
      </c>
      <c r="AB46" s="70" t="str">
        <f aca="false">IF(AND(ISNUMBER(SKOR!U9),SKOR!U9=0),SKOR!U$5,"")</f>
        <v/>
      </c>
      <c r="AC46" s="70" t="str">
        <f aca="false">IF(AND(ISNUMBER(SKOR!V9),SKOR!V9=0),SKOR!V$5,"")</f>
        <v/>
      </c>
      <c r="AD46" s="70" t="n">
        <f aca="false">IF(AND(ISNUMBER(SKOR!W9),SKOR!W9=0),SKOR!W$5,"")</f>
        <v>19</v>
      </c>
      <c r="AE46" s="70" t="n">
        <f aca="false">IF(AND(ISNUMBER(SKOR!X9),SKOR!X9=0),SKOR!X$5,"")</f>
        <v>20</v>
      </c>
      <c r="AF46" s="70" t="str">
        <f aca="false">IF(AND(ISNUMBER(SKOR!Y9),SKOR!Y9=0),SKOR!Y$5,"")</f>
        <v/>
      </c>
      <c r="AG46" s="70" t="str">
        <f aca="false">IF(AND(ISNUMBER(SKOR!Z9),SKOR!Z9=0),SKOR!Z$5,"")</f>
        <v/>
      </c>
      <c r="AH46" s="70" t="str">
        <f aca="false">IF(AND(ISNUMBER(SKOR!AA9),SKOR!AA9=0),SKOR!AA$5,"")</f>
        <v/>
      </c>
      <c r="AI46" s="70" t="n">
        <f aca="false">IF(AND(ISNUMBER(SKOR!AB9),SKOR!AB9=0),SKOR!AB$5,"")</f>
        <v>24</v>
      </c>
      <c r="AJ46" s="70" t="n">
        <f aca="false">IF(AND(ISNUMBER(SKOR!AC9),SKOR!AC9=0),SKOR!AC$5,"")</f>
        <v>25</v>
      </c>
      <c r="AK46" s="70" t="n">
        <f aca="false">IF(AND(ISNUMBER(SKOR!AD9),SKOR!AD9=0),SKOR!AD$5,"")</f>
        <v>26</v>
      </c>
      <c r="AL46" s="70" t="n">
        <f aca="false">IF(AND(ISNUMBER(SKOR!AE9),SKOR!AE9=0),SKOR!AE$5,"")</f>
        <v>27</v>
      </c>
      <c r="AM46" s="70" t="n">
        <f aca="false">IF(AND(ISNUMBER(SKOR!AF9),SKOR!AF9=0),SKOR!AF$5,"")</f>
        <v>28</v>
      </c>
      <c r="AN46" s="70" t="n">
        <f aca="false">IF(AND(ISNUMBER(SKOR!AG9),SKOR!AG9=0),SKOR!AG$5,"")</f>
        <v>29</v>
      </c>
      <c r="AO46" s="70" t="str">
        <f aca="false">IF(AND(ISNUMBER(SKOR!AH9),SKOR!AH9=0),SKOR!AH$5,"")</f>
        <v/>
      </c>
      <c r="AP46" s="70" t="str">
        <f aca="false">IF(AND(ISNUMBER(SKOR!AI9),SKOR!AI9=0),SKOR!AI$5,"")</f>
        <v/>
      </c>
      <c r="AQ46" s="70" t="str">
        <f aca="false">IF(AND(ISNUMBER(SKOR!AJ9),SKOR!AJ9=0),SKOR!AJ$5,"")</f>
        <v/>
      </c>
      <c r="AR46" s="70" t="n">
        <f aca="false">IF(AND(ISNUMBER(SKOR!AK9),SKOR!AK9=0),SKOR!AK$5,"")</f>
        <v>33</v>
      </c>
      <c r="AS46" s="70" t="str">
        <f aca="false">IF(AND(ISNUMBER(SKOR!AL9),SKOR!AL9=0),SKOR!AL$5,"")</f>
        <v/>
      </c>
      <c r="AT46" s="70" t="n">
        <f aca="false">IF(AND(ISNUMBER(SKOR!AM9),SKOR!AM9=0),SKOR!AM$5,"")</f>
        <v>35</v>
      </c>
      <c r="AU46" s="70" t="n">
        <f aca="false">IF(AND(ISNUMBER(SKOR!AN9),SKOR!AN9=0),SKOR!AN$5,"")</f>
        <v>36</v>
      </c>
      <c r="AV46" s="70" t="str">
        <f aca="false">IF(AND(ISNUMBER(SKOR!AO9),SKOR!AO9=0),SKOR!AO$5,"")</f>
        <v/>
      </c>
      <c r="AW46" s="70" t="n">
        <f aca="false">IF(AND(ISNUMBER(SKOR!AP9),SKOR!AP9=0),SKOR!AP$5,"")</f>
        <v>38</v>
      </c>
      <c r="AX46" s="70" t="n">
        <f aca="false">IF(AND(ISNUMBER(SKOR!AQ9),SKOR!AQ9=0),SKOR!AQ$5,"")</f>
        <v>39</v>
      </c>
      <c r="AY46" s="70" t="str">
        <f aca="false">IF(AND(ISNUMBER(SKOR!AR9),SKOR!AR9=0),SKOR!AR$5,"")</f>
        <v/>
      </c>
    </row>
    <row r="47" customFormat="false" ht="24.75" hidden="false" customHeight="true" outlineLevel="0" collapsed="false">
      <c r="A47" s="65" t="n">
        <f aca="false">NILAI!A10</f>
        <v>5</v>
      </c>
      <c r="B47" s="66" t="str">
        <f aca="false">NILAI!B10</f>
        <v>SISWA 05</v>
      </c>
      <c r="C47" s="65" t="str">
        <f aca="false">NILAI!C10</f>
        <v>IX G</v>
      </c>
      <c r="D47" s="56" t="n">
        <f aca="false">NILAI!F10</f>
        <v>87.5</v>
      </c>
      <c r="E47" s="67" t="n">
        <f aca="false">IF(D47="","",D47-NILAI_KKM)</f>
        <v>12.5</v>
      </c>
      <c r="F47" s="68" t="str">
        <f aca="false">IF(D47="","",IF(D47&lt;NILAI_KKM,"Remedial","Pengayaan"))</f>
        <v>Pengayaan</v>
      </c>
      <c r="G47" s="66" t="str">
        <f aca="false">IF(F47="","",IF(F47="Remedial",IF(D47&lt;BATAS_INTENSIF,"Remedial intensif: pembelajaran ulang + tes ulang","Remedial terbimbing: bahas butir salah + tes ulang"),IF(NILAI!I10="Atas","Pengayaan lanjut: tutor sebaya + soal HOTS","Pengayaan dasar: pendalaman + proyek")))</f>
        <v>Pengayaan lanjut: tutor sebaya + soal HOTS</v>
      </c>
      <c r="H47" s="66" t="str">
        <f aca="false">IF(F47="","",IF(F47="Pengayaan","-",IF(_xlfn.TEXTJOIN(", ",TRUE(),$L47:$AY47)="","-",_xlfn.TEXTJOIN(", ",TRUE(),$L47:$AY47))))</f>
        <v>-</v>
      </c>
      <c r="I47" s="69"/>
      <c r="J47" s="65" t="str">
        <f aca="false">IF(OR(F47&lt;&gt;"Remedial",I47=""),"",IF(I47&gt;=NILAI_KKM,"Tuntas","Belum tuntas"))</f>
        <v/>
      </c>
      <c r="L47" s="70" t="str">
        <f aca="false">IF(AND(ISNUMBER(SKOR!E10),SKOR!E10=0),SKOR!E$5,"")</f>
        <v/>
      </c>
      <c r="M47" s="70" t="str">
        <f aca="false">IF(AND(ISNUMBER(SKOR!F10),SKOR!F10=0),SKOR!F$5,"")</f>
        <v/>
      </c>
      <c r="N47" s="70" t="str">
        <f aca="false">IF(AND(ISNUMBER(SKOR!G10),SKOR!G10=0),SKOR!G$5,"")</f>
        <v/>
      </c>
      <c r="O47" s="70" t="n">
        <f aca="false">IF(AND(ISNUMBER(SKOR!H10),SKOR!H10=0),SKOR!H$5,"")</f>
        <v>4</v>
      </c>
      <c r="P47" s="70" t="str">
        <f aca="false">IF(AND(ISNUMBER(SKOR!I10),SKOR!I10=0),SKOR!I$5,"")</f>
        <v/>
      </c>
      <c r="Q47" s="70" t="n">
        <f aca="false">IF(AND(ISNUMBER(SKOR!J10),SKOR!J10=0),SKOR!J$5,"")</f>
        <v>6</v>
      </c>
      <c r="R47" s="70" t="n">
        <f aca="false">IF(AND(ISNUMBER(SKOR!K10),SKOR!K10=0),SKOR!K$5,"")</f>
        <v>7</v>
      </c>
      <c r="S47" s="70" t="str">
        <f aca="false">IF(AND(ISNUMBER(SKOR!L10),SKOR!L10=0),SKOR!L$5,"")</f>
        <v/>
      </c>
      <c r="T47" s="70" t="str">
        <f aca="false">IF(AND(ISNUMBER(SKOR!M10),SKOR!M10=0),SKOR!M$5,"")</f>
        <v/>
      </c>
      <c r="U47" s="70" t="str">
        <f aca="false">IF(AND(ISNUMBER(SKOR!N10),SKOR!N10=0),SKOR!N$5,"")</f>
        <v/>
      </c>
      <c r="V47" s="70" t="str">
        <f aca="false">IF(AND(ISNUMBER(SKOR!O10),SKOR!O10=0),SKOR!O$5,"")</f>
        <v/>
      </c>
      <c r="W47" s="70" t="str">
        <f aca="false">IF(AND(ISNUMBER(SKOR!P10),SKOR!P10=0),SKOR!P$5,"")</f>
        <v/>
      </c>
      <c r="X47" s="70" t="str">
        <f aca="false">IF(AND(ISNUMBER(SKOR!Q10),SKOR!Q10=0),SKOR!Q$5,"")</f>
        <v/>
      </c>
      <c r="Y47" s="70" t="str">
        <f aca="false">IF(AND(ISNUMBER(SKOR!R10),SKOR!R10=0),SKOR!R$5,"")</f>
        <v/>
      </c>
      <c r="Z47" s="70" t="str">
        <f aca="false">IF(AND(ISNUMBER(SKOR!S10),SKOR!S10=0),SKOR!S$5,"")</f>
        <v/>
      </c>
      <c r="AA47" s="70" t="str">
        <f aca="false">IF(AND(ISNUMBER(SKOR!T10),SKOR!T10=0),SKOR!T$5,"")</f>
        <v/>
      </c>
      <c r="AB47" s="70" t="str">
        <f aca="false">IF(AND(ISNUMBER(SKOR!U10),SKOR!U10=0),SKOR!U$5,"")</f>
        <v/>
      </c>
      <c r="AC47" s="70" t="str">
        <f aca="false">IF(AND(ISNUMBER(SKOR!V10),SKOR!V10=0),SKOR!V$5,"")</f>
        <v/>
      </c>
      <c r="AD47" s="70" t="str">
        <f aca="false">IF(AND(ISNUMBER(SKOR!W10),SKOR!W10=0),SKOR!W$5,"")</f>
        <v/>
      </c>
      <c r="AE47" s="70" t="str">
        <f aca="false">IF(AND(ISNUMBER(SKOR!X10),SKOR!X10=0),SKOR!X$5,"")</f>
        <v/>
      </c>
      <c r="AF47" s="70" t="str">
        <f aca="false">IF(AND(ISNUMBER(SKOR!Y10),SKOR!Y10=0),SKOR!Y$5,"")</f>
        <v/>
      </c>
      <c r="AG47" s="70" t="str">
        <f aca="false">IF(AND(ISNUMBER(SKOR!Z10),SKOR!Z10=0),SKOR!Z$5,"")</f>
        <v/>
      </c>
      <c r="AH47" s="70" t="str">
        <f aca="false">IF(AND(ISNUMBER(SKOR!AA10),SKOR!AA10=0),SKOR!AA$5,"")</f>
        <v/>
      </c>
      <c r="AI47" s="70" t="str">
        <f aca="false">IF(AND(ISNUMBER(SKOR!AB10),SKOR!AB10=0),SKOR!AB$5,"")</f>
        <v/>
      </c>
      <c r="AJ47" s="70" t="str">
        <f aca="false">IF(AND(ISNUMBER(SKOR!AC10),SKOR!AC10=0),SKOR!AC$5,"")</f>
        <v/>
      </c>
      <c r="AK47" s="70" t="str">
        <f aca="false">IF(AND(ISNUMBER(SKOR!AD10),SKOR!AD10=0),SKOR!AD$5,"")</f>
        <v/>
      </c>
      <c r="AL47" s="70" t="str">
        <f aca="false">IF(AND(ISNUMBER(SKOR!AE10),SKOR!AE10=0),SKOR!AE$5,"")</f>
        <v/>
      </c>
      <c r="AM47" s="70" t="n">
        <f aca="false">IF(AND(ISNUMBER(SKOR!AF10),SKOR!AF10=0),SKOR!AF$5,"")</f>
        <v>28</v>
      </c>
      <c r="AN47" s="70" t="str">
        <f aca="false">IF(AND(ISNUMBER(SKOR!AG10),SKOR!AG10=0),SKOR!AG$5,"")</f>
        <v/>
      </c>
      <c r="AO47" s="70" t="str">
        <f aca="false">IF(AND(ISNUMBER(SKOR!AH10),SKOR!AH10=0),SKOR!AH$5,"")</f>
        <v/>
      </c>
      <c r="AP47" s="70" t="str">
        <f aca="false">IF(AND(ISNUMBER(SKOR!AI10),SKOR!AI10=0),SKOR!AI$5,"")</f>
        <v/>
      </c>
      <c r="AQ47" s="70" t="str">
        <f aca="false">IF(AND(ISNUMBER(SKOR!AJ10),SKOR!AJ10=0),SKOR!AJ$5,"")</f>
        <v/>
      </c>
      <c r="AR47" s="70" t="str">
        <f aca="false">IF(AND(ISNUMBER(SKOR!AK10),SKOR!AK10=0),SKOR!AK$5,"")</f>
        <v/>
      </c>
      <c r="AS47" s="70" t="str">
        <f aca="false">IF(AND(ISNUMBER(SKOR!AL10),SKOR!AL10=0),SKOR!AL$5,"")</f>
        <v/>
      </c>
      <c r="AT47" s="70" t="str">
        <f aca="false">IF(AND(ISNUMBER(SKOR!AM10),SKOR!AM10=0),SKOR!AM$5,"")</f>
        <v/>
      </c>
      <c r="AU47" s="70" t="str">
        <f aca="false">IF(AND(ISNUMBER(SKOR!AN10),SKOR!AN10=0),SKOR!AN$5,"")</f>
        <v/>
      </c>
      <c r="AV47" s="70" t="str">
        <f aca="false">IF(AND(ISNUMBER(SKOR!AO10),SKOR!AO10=0),SKOR!AO$5,"")</f>
        <v/>
      </c>
      <c r="AW47" s="70" t="str">
        <f aca="false">IF(AND(ISNUMBER(SKOR!AP10),SKOR!AP10=0),SKOR!AP$5,"")</f>
        <v/>
      </c>
      <c r="AX47" s="70" t="n">
        <f aca="false">IF(AND(ISNUMBER(SKOR!AQ10),SKOR!AQ10=0),SKOR!AQ$5,"")</f>
        <v>39</v>
      </c>
      <c r="AY47" s="70" t="str">
        <f aca="false">IF(AND(ISNUMBER(SKOR!AR10),SKOR!AR10=0),SKOR!AR$5,"")</f>
        <v/>
      </c>
    </row>
    <row r="48" customFormat="false" ht="24.75" hidden="false" customHeight="true" outlineLevel="0" collapsed="false">
      <c r="A48" s="65" t="n">
        <f aca="false">NILAI!A11</f>
        <v>6</v>
      </c>
      <c r="B48" s="66" t="str">
        <f aca="false">NILAI!B11</f>
        <v>SISWA 06</v>
      </c>
      <c r="C48" s="65" t="str">
        <f aca="false">NILAI!C11</f>
        <v>IX G</v>
      </c>
      <c r="D48" s="56" t="n">
        <f aca="false">NILAI!F11</f>
        <v>72.5</v>
      </c>
      <c r="E48" s="67" t="n">
        <f aca="false">IF(D48="","",D48-NILAI_KKM)</f>
        <v>-2.5</v>
      </c>
      <c r="F48" s="68" t="str">
        <f aca="false">IF(D48="","",IF(D48&lt;NILAI_KKM,"Remedial","Pengayaan"))</f>
        <v>Remedial</v>
      </c>
      <c r="G48" s="66" t="str">
        <f aca="false">IF(F48="","",IF(F48="Remedial",IF(D48&lt;BATAS_INTENSIF,"Remedial intensif: pembelajaran ulang + tes ulang","Remedial terbimbing: bahas butir salah + tes ulang"),IF(NILAI!I11="Atas","Pengayaan lanjut: tutor sebaya + soal HOTS","Pengayaan dasar: pendalaman + proyek")))</f>
        <v>Remedial terbimbing: bahas butir salah + tes ulang</v>
      </c>
      <c r="H48" s="66" t="str">
        <f aca="false">IF(F48="","",IF(F48="Pengayaan","-",IF(_xlfn.TEXTJOIN(", ",TRUE(),$L48:$AY48)="","-",_xlfn.TEXTJOIN(", ",TRUE(),$L48:$AY48))))</f>
        <v>1, 2, 3, 5, 12, 16, 17, 25, 33, 34, 40</v>
      </c>
      <c r="I48" s="69"/>
      <c r="J48" s="65" t="str">
        <f aca="false">IF(OR(F48&lt;&gt;"Remedial",I48=""),"",IF(I48&gt;=NILAI_KKM,"Tuntas","Belum tuntas"))</f>
        <v/>
      </c>
      <c r="L48" s="70" t="n">
        <f aca="false">IF(AND(ISNUMBER(SKOR!E11),SKOR!E11=0),SKOR!E$5,"")</f>
        <v>1</v>
      </c>
      <c r="M48" s="70" t="n">
        <f aca="false">IF(AND(ISNUMBER(SKOR!F11),SKOR!F11=0),SKOR!F$5,"")</f>
        <v>2</v>
      </c>
      <c r="N48" s="70" t="n">
        <f aca="false">IF(AND(ISNUMBER(SKOR!G11),SKOR!G11=0),SKOR!G$5,"")</f>
        <v>3</v>
      </c>
      <c r="O48" s="70" t="str">
        <f aca="false">IF(AND(ISNUMBER(SKOR!H11),SKOR!H11=0),SKOR!H$5,"")</f>
        <v/>
      </c>
      <c r="P48" s="70" t="n">
        <f aca="false">IF(AND(ISNUMBER(SKOR!I11),SKOR!I11=0),SKOR!I$5,"")</f>
        <v>5</v>
      </c>
      <c r="Q48" s="70" t="str">
        <f aca="false">IF(AND(ISNUMBER(SKOR!J11),SKOR!J11=0),SKOR!J$5,"")</f>
        <v/>
      </c>
      <c r="R48" s="70" t="str">
        <f aca="false">IF(AND(ISNUMBER(SKOR!K11),SKOR!K11=0),SKOR!K$5,"")</f>
        <v/>
      </c>
      <c r="S48" s="70" t="str">
        <f aca="false">IF(AND(ISNUMBER(SKOR!L11),SKOR!L11=0),SKOR!L$5,"")</f>
        <v/>
      </c>
      <c r="T48" s="70" t="str">
        <f aca="false">IF(AND(ISNUMBER(SKOR!M11),SKOR!M11=0),SKOR!M$5,"")</f>
        <v/>
      </c>
      <c r="U48" s="70" t="str">
        <f aca="false">IF(AND(ISNUMBER(SKOR!N11),SKOR!N11=0),SKOR!N$5,"")</f>
        <v/>
      </c>
      <c r="V48" s="70" t="str">
        <f aca="false">IF(AND(ISNUMBER(SKOR!O11),SKOR!O11=0),SKOR!O$5,"")</f>
        <v/>
      </c>
      <c r="W48" s="70" t="n">
        <f aca="false">IF(AND(ISNUMBER(SKOR!P11),SKOR!P11=0),SKOR!P$5,"")</f>
        <v>12</v>
      </c>
      <c r="X48" s="70" t="str">
        <f aca="false">IF(AND(ISNUMBER(SKOR!Q11),SKOR!Q11=0),SKOR!Q$5,"")</f>
        <v/>
      </c>
      <c r="Y48" s="70" t="str">
        <f aca="false">IF(AND(ISNUMBER(SKOR!R11),SKOR!R11=0),SKOR!R$5,"")</f>
        <v/>
      </c>
      <c r="Z48" s="70" t="str">
        <f aca="false">IF(AND(ISNUMBER(SKOR!S11),SKOR!S11=0),SKOR!S$5,"")</f>
        <v/>
      </c>
      <c r="AA48" s="70" t="n">
        <f aca="false">IF(AND(ISNUMBER(SKOR!T11),SKOR!T11=0),SKOR!T$5,"")</f>
        <v>16</v>
      </c>
      <c r="AB48" s="70" t="n">
        <f aca="false">IF(AND(ISNUMBER(SKOR!U11),SKOR!U11=0),SKOR!U$5,"")</f>
        <v>17</v>
      </c>
      <c r="AC48" s="70" t="str">
        <f aca="false">IF(AND(ISNUMBER(SKOR!V11),SKOR!V11=0),SKOR!V$5,"")</f>
        <v/>
      </c>
      <c r="AD48" s="70" t="str">
        <f aca="false">IF(AND(ISNUMBER(SKOR!W11),SKOR!W11=0),SKOR!W$5,"")</f>
        <v/>
      </c>
      <c r="AE48" s="70" t="str">
        <f aca="false">IF(AND(ISNUMBER(SKOR!X11),SKOR!X11=0),SKOR!X$5,"")</f>
        <v/>
      </c>
      <c r="AF48" s="70" t="str">
        <f aca="false">IF(AND(ISNUMBER(SKOR!Y11),SKOR!Y11=0),SKOR!Y$5,"")</f>
        <v/>
      </c>
      <c r="AG48" s="70" t="str">
        <f aca="false">IF(AND(ISNUMBER(SKOR!Z11),SKOR!Z11=0),SKOR!Z$5,"")</f>
        <v/>
      </c>
      <c r="AH48" s="70" t="str">
        <f aca="false">IF(AND(ISNUMBER(SKOR!AA11),SKOR!AA11=0),SKOR!AA$5,"")</f>
        <v/>
      </c>
      <c r="AI48" s="70" t="str">
        <f aca="false">IF(AND(ISNUMBER(SKOR!AB11),SKOR!AB11=0),SKOR!AB$5,"")</f>
        <v/>
      </c>
      <c r="AJ48" s="70" t="n">
        <f aca="false">IF(AND(ISNUMBER(SKOR!AC11),SKOR!AC11=0),SKOR!AC$5,"")</f>
        <v>25</v>
      </c>
      <c r="AK48" s="70" t="str">
        <f aca="false">IF(AND(ISNUMBER(SKOR!AD11),SKOR!AD11=0),SKOR!AD$5,"")</f>
        <v/>
      </c>
      <c r="AL48" s="70" t="str">
        <f aca="false">IF(AND(ISNUMBER(SKOR!AE11),SKOR!AE11=0),SKOR!AE$5,"")</f>
        <v/>
      </c>
      <c r="AM48" s="70" t="str">
        <f aca="false">IF(AND(ISNUMBER(SKOR!AF11),SKOR!AF11=0),SKOR!AF$5,"")</f>
        <v/>
      </c>
      <c r="AN48" s="70" t="str">
        <f aca="false">IF(AND(ISNUMBER(SKOR!AG11),SKOR!AG11=0),SKOR!AG$5,"")</f>
        <v/>
      </c>
      <c r="AO48" s="70" t="str">
        <f aca="false">IF(AND(ISNUMBER(SKOR!AH11),SKOR!AH11=0),SKOR!AH$5,"")</f>
        <v/>
      </c>
      <c r="AP48" s="70" t="str">
        <f aca="false">IF(AND(ISNUMBER(SKOR!AI11),SKOR!AI11=0),SKOR!AI$5,"")</f>
        <v/>
      </c>
      <c r="AQ48" s="70" t="str">
        <f aca="false">IF(AND(ISNUMBER(SKOR!AJ11),SKOR!AJ11=0),SKOR!AJ$5,"")</f>
        <v/>
      </c>
      <c r="AR48" s="70" t="n">
        <f aca="false">IF(AND(ISNUMBER(SKOR!AK11),SKOR!AK11=0),SKOR!AK$5,"")</f>
        <v>33</v>
      </c>
      <c r="AS48" s="70" t="n">
        <f aca="false">IF(AND(ISNUMBER(SKOR!AL11),SKOR!AL11=0),SKOR!AL$5,"")</f>
        <v>34</v>
      </c>
      <c r="AT48" s="70" t="str">
        <f aca="false">IF(AND(ISNUMBER(SKOR!AM11),SKOR!AM11=0),SKOR!AM$5,"")</f>
        <v/>
      </c>
      <c r="AU48" s="70" t="str">
        <f aca="false">IF(AND(ISNUMBER(SKOR!AN11),SKOR!AN11=0),SKOR!AN$5,"")</f>
        <v/>
      </c>
      <c r="AV48" s="70" t="str">
        <f aca="false">IF(AND(ISNUMBER(SKOR!AO11),SKOR!AO11=0),SKOR!AO$5,"")</f>
        <v/>
      </c>
      <c r="AW48" s="70" t="str">
        <f aca="false">IF(AND(ISNUMBER(SKOR!AP11),SKOR!AP11=0),SKOR!AP$5,"")</f>
        <v/>
      </c>
      <c r="AX48" s="70" t="str">
        <f aca="false">IF(AND(ISNUMBER(SKOR!AQ11),SKOR!AQ11=0),SKOR!AQ$5,"")</f>
        <v/>
      </c>
      <c r="AY48" s="70" t="n">
        <f aca="false">IF(AND(ISNUMBER(SKOR!AR11),SKOR!AR11=0),SKOR!AR$5,"")</f>
        <v>40</v>
      </c>
    </row>
    <row r="49" customFormat="false" ht="24.75" hidden="false" customHeight="true" outlineLevel="0" collapsed="false">
      <c r="A49" s="65" t="n">
        <f aca="false">NILAI!A12</f>
        <v>7</v>
      </c>
      <c r="B49" s="66" t="str">
        <f aca="false">NILAI!B12</f>
        <v>SISWA 07</v>
      </c>
      <c r="C49" s="65" t="str">
        <f aca="false">NILAI!C12</f>
        <v>IX G</v>
      </c>
      <c r="D49" s="56" t="n">
        <f aca="false">NILAI!F12</f>
        <v>57.5</v>
      </c>
      <c r="E49" s="67" t="n">
        <f aca="false">IF(D49="","",D49-NILAI_KKM)</f>
        <v>-17.5</v>
      </c>
      <c r="F49" s="68" t="str">
        <f aca="false">IF(D49="","",IF(D49&lt;NILAI_KKM,"Remedial","Pengayaan"))</f>
        <v>Remedial</v>
      </c>
      <c r="G49" s="66" t="str">
        <f aca="false">IF(F49="","",IF(F49="Remedial",IF(D49&lt;BATAS_INTENSIF,"Remedial intensif: pembelajaran ulang + tes ulang","Remedial terbimbing: bahas butir salah + tes ulang"),IF(NILAI!I12="Atas","Pengayaan lanjut: tutor sebaya + soal HOTS","Pengayaan dasar: pendalaman + proyek")))</f>
        <v>Remedial terbimbing: bahas butir salah + tes ulang</v>
      </c>
      <c r="H49" s="66" t="str">
        <f aca="false">IF(F49="","",IF(F49="Pengayaan","-",IF(_xlfn.TEXTJOIN(", ",TRUE(),$L49:$AY49)="","-",_xlfn.TEXTJOIN(", ",TRUE(),$L49:$AY49))))</f>
        <v>2, 5, 11, 12, 14, 15, 16, 17, 18, 20, 22, 26, 28, 29, 31, 34, 37</v>
      </c>
      <c r="I49" s="69"/>
      <c r="J49" s="65" t="str">
        <f aca="false">IF(OR(F49&lt;&gt;"Remedial",I49=""),"",IF(I49&gt;=NILAI_KKM,"Tuntas","Belum tuntas"))</f>
        <v/>
      </c>
      <c r="L49" s="70" t="str">
        <f aca="false">IF(AND(ISNUMBER(SKOR!E12),SKOR!E12=0),SKOR!E$5,"")</f>
        <v/>
      </c>
      <c r="M49" s="70" t="n">
        <f aca="false">IF(AND(ISNUMBER(SKOR!F12),SKOR!F12=0),SKOR!F$5,"")</f>
        <v>2</v>
      </c>
      <c r="N49" s="70" t="str">
        <f aca="false">IF(AND(ISNUMBER(SKOR!G12),SKOR!G12=0),SKOR!G$5,"")</f>
        <v/>
      </c>
      <c r="O49" s="70" t="str">
        <f aca="false">IF(AND(ISNUMBER(SKOR!H12),SKOR!H12=0),SKOR!H$5,"")</f>
        <v/>
      </c>
      <c r="P49" s="70" t="n">
        <f aca="false">IF(AND(ISNUMBER(SKOR!I12),SKOR!I12=0),SKOR!I$5,"")</f>
        <v>5</v>
      </c>
      <c r="Q49" s="70" t="str">
        <f aca="false">IF(AND(ISNUMBER(SKOR!J12),SKOR!J12=0),SKOR!J$5,"")</f>
        <v/>
      </c>
      <c r="R49" s="70" t="str">
        <f aca="false">IF(AND(ISNUMBER(SKOR!K12),SKOR!K12=0),SKOR!K$5,"")</f>
        <v/>
      </c>
      <c r="S49" s="70" t="str">
        <f aca="false">IF(AND(ISNUMBER(SKOR!L12),SKOR!L12=0),SKOR!L$5,"")</f>
        <v/>
      </c>
      <c r="T49" s="70" t="str">
        <f aca="false">IF(AND(ISNUMBER(SKOR!M12),SKOR!M12=0),SKOR!M$5,"")</f>
        <v/>
      </c>
      <c r="U49" s="70" t="str">
        <f aca="false">IF(AND(ISNUMBER(SKOR!N12),SKOR!N12=0),SKOR!N$5,"")</f>
        <v/>
      </c>
      <c r="V49" s="70" t="n">
        <f aca="false">IF(AND(ISNUMBER(SKOR!O12),SKOR!O12=0),SKOR!O$5,"")</f>
        <v>11</v>
      </c>
      <c r="W49" s="70" t="n">
        <f aca="false">IF(AND(ISNUMBER(SKOR!P12),SKOR!P12=0),SKOR!P$5,"")</f>
        <v>12</v>
      </c>
      <c r="X49" s="70" t="str">
        <f aca="false">IF(AND(ISNUMBER(SKOR!Q12),SKOR!Q12=0),SKOR!Q$5,"")</f>
        <v/>
      </c>
      <c r="Y49" s="70" t="n">
        <f aca="false">IF(AND(ISNUMBER(SKOR!R12),SKOR!R12=0),SKOR!R$5,"")</f>
        <v>14</v>
      </c>
      <c r="Z49" s="70" t="n">
        <f aca="false">IF(AND(ISNUMBER(SKOR!S12),SKOR!S12=0),SKOR!S$5,"")</f>
        <v>15</v>
      </c>
      <c r="AA49" s="70" t="n">
        <f aca="false">IF(AND(ISNUMBER(SKOR!T12),SKOR!T12=0),SKOR!T$5,"")</f>
        <v>16</v>
      </c>
      <c r="AB49" s="70" t="n">
        <f aca="false">IF(AND(ISNUMBER(SKOR!U12),SKOR!U12=0),SKOR!U$5,"")</f>
        <v>17</v>
      </c>
      <c r="AC49" s="70" t="n">
        <f aca="false">IF(AND(ISNUMBER(SKOR!V12),SKOR!V12=0),SKOR!V$5,"")</f>
        <v>18</v>
      </c>
      <c r="AD49" s="70" t="str">
        <f aca="false">IF(AND(ISNUMBER(SKOR!W12),SKOR!W12=0),SKOR!W$5,"")</f>
        <v/>
      </c>
      <c r="AE49" s="70" t="n">
        <f aca="false">IF(AND(ISNUMBER(SKOR!X12),SKOR!X12=0),SKOR!X$5,"")</f>
        <v>20</v>
      </c>
      <c r="AF49" s="70" t="str">
        <f aca="false">IF(AND(ISNUMBER(SKOR!Y12),SKOR!Y12=0),SKOR!Y$5,"")</f>
        <v/>
      </c>
      <c r="AG49" s="70" t="n">
        <f aca="false">IF(AND(ISNUMBER(SKOR!Z12),SKOR!Z12=0),SKOR!Z$5,"")</f>
        <v>22</v>
      </c>
      <c r="AH49" s="70" t="str">
        <f aca="false">IF(AND(ISNUMBER(SKOR!AA12),SKOR!AA12=0),SKOR!AA$5,"")</f>
        <v/>
      </c>
      <c r="AI49" s="70" t="str">
        <f aca="false">IF(AND(ISNUMBER(SKOR!AB12),SKOR!AB12=0),SKOR!AB$5,"")</f>
        <v/>
      </c>
      <c r="AJ49" s="70" t="str">
        <f aca="false">IF(AND(ISNUMBER(SKOR!AC12),SKOR!AC12=0),SKOR!AC$5,"")</f>
        <v/>
      </c>
      <c r="AK49" s="70" t="n">
        <f aca="false">IF(AND(ISNUMBER(SKOR!AD12),SKOR!AD12=0),SKOR!AD$5,"")</f>
        <v>26</v>
      </c>
      <c r="AL49" s="70" t="str">
        <f aca="false">IF(AND(ISNUMBER(SKOR!AE12),SKOR!AE12=0),SKOR!AE$5,"")</f>
        <v/>
      </c>
      <c r="AM49" s="70" t="n">
        <f aca="false">IF(AND(ISNUMBER(SKOR!AF12),SKOR!AF12=0),SKOR!AF$5,"")</f>
        <v>28</v>
      </c>
      <c r="AN49" s="70" t="n">
        <f aca="false">IF(AND(ISNUMBER(SKOR!AG12),SKOR!AG12=0),SKOR!AG$5,"")</f>
        <v>29</v>
      </c>
      <c r="AO49" s="70" t="str">
        <f aca="false">IF(AND(ISNUMBER(SKOR!AH12),SKOR!AH12=0),SKOR!AH$5,"")</f>
        <v/>
      </c>
      <c r="AP49" s="70" t="n">
        <f aca="false">IF(AND(ISNUMBER(SKOR!AI12),SKOR!AI12=0),SKOR!AI$5,"")</f>
        <v>31</v>
      </c>
      <c r="AQ49" s="70" t="str">
        <f aca="false">IF(AND(ISNUMBER(SKOR!AJ12),SKOR!AJ12=0),SKOR!AJ$5,"")</f>
        <v/>
      </c>
      <c r="AR49" s="70" t="str">
        <f aca="false">IF(AND(ISNUMBER(SKOR!AK12),SKOR!AK12=0),SKOR!AK$5,"")</f>
        <v/>
      </c>
      <c r="AS49" s="70" t="n">
        <f aca="false">IF(AND(ISNUMBER(SKOR!AL12),SKOR!AL12=0),SKOR!AL$5,"")</f>
        <v>34</v>
      </c>
      <c r="AT49" s="70" t="str">
        <f aca="false">IF(AND(ISNUMBER(SKOR!AM12),SKOR!AM12=0),SKOR!AM$5,"")</f>
        <v/>
      </c>
      <c r="AU49" s="70" t="str">
        <f aca="false">IF(AND(ISNUMBER(SKOR!AN12),SKOR!AN12=0),SKOR!AN$5,"")</f>
        <v/>
      </c>
      <c r="AV49" s="70" t="n">
        <f aca="false">IF(AND(ISNUMBER(SKOR!AO12),SKOR!AO12=0),SKOR!AO$5,"")</f>
        <v>37</v>
      </c>
      <c r="AW49" s="70" t="str">
        <f aca="false">IF(AND(ISNUMBER(SKOR!AP12),SKOR!AP12=0),SKOR!AP$5,"")</f>
        <v/>
      </c>
      <c r="AX49" s="70" t="str">
        <f aca="false">IF(AND(ISNUMBER(SKOR!AQ12),SKOR!AQ12=0),SKOR!AQ$5,"")</f>
        <v/>
      </c>
      <c r="AY49" s="70" t="str">
        <f aca="false">IF(AND(ISNUMBER(SKOR!AR12),SKOR!AR12=0),SKOR!AR$5,"")</f>
        <v/>
      </c>
    </row>
    <row r="50" customFormat="false" ht="35.05" hidden="false" customHeight="false" outlineLevel="0" collapsed="false">
      <c r="A50" s="65" t="n">
        <f aca="false">NILAI!A13</f>
        <v>8</v>
      </c>
      <c r="B50" s="66" t="str">
        <f aca="false">NILAI!B13</f>
        <v>SISWA 08</v>
      </c>
      <c r="C50" s="65" t="str">
        <f aca="false">NILAI!C13</f>
        <v>IX G</v>
      </c>
      <c r="D50" s="56" t="n">
        <f aca="false">NILAI!F13</f>
        <v>42.5</v>
      </c>
      <c r="E50" s="67" t="n">
        <f aca="false">IF(D50="","",D50-NILAI_KKM)</f>
        <v>-32.5</v>
      </c>
      <c r="F50" s="68" t="str">
        <f aca="false">IF(D50="","",IF(D50&lt;NILAI_KKM,"Remedial","Pengayaan"))</f>
        <v>Remedial</v>
      </c>
      <c r="G50" s="66" t="str">
        <f aca="false">IF(F50="","",IF(F50="Remedial",IF(D50&lt;BATAS_INTENSIF,"Remedial intensif: pembelajaran ulang + tes ulang","Remedial terbimbing: bahas butir salah + tes ulang"),IF(NILAI!I13="Atas","Pengayaan lanjut: tutor sebaya + soal HOTS","Pengayaan dasar: pendalaman + proyek")))</f>
        <v>Remedial intensif: pembelajaran ulang + tes ulang</v>
      </c>
      <c r="H50" s="66" t="str">
        <f aca="false">IF(F50="","",IF(F50="Pengayaan","-",IF(_xlfn.TEXTJOIN(", ",TRUE(),$L50:$AY50)="","-",_xlfn.TEXTJOIN(", ",TRUE(),$L50:$AY50))))</f>
        <v>1, 2, 3, 4, 6, 9, 10, 11, 12, 15, 16, 22, 23, 24, 26, 27, 28, 29, 31, 32, 34, 38, 39</v>
      </c>
      <c r="I50" s="69"/>
      <c r="J50" s="65" t="str">
        <f aca="false">IF(OR(F50&lt;&gt;"Remedial",I50=""),"",IF(I50&gt;=NILAI_KKM,"Tuntas","Belum tuntas"))</f>
        <v/>
      </c>
      <c r="L50" s="70" t="n">
        <f aca="false">IF(AND(ISNUMBER(SKOR!E13),SKOR!E13=0),SKOR!E$5,"")</f>
        <v>1</v>
      </c>
      <c r="M50" s="70" t="n">
        <f aca="false">IF(AND(ISNUMBER(SKOR!F13),SKOR!F13=0),SKOR!F$5,"")</f>
        <v>2</v>
      </c>
      <c r="N50" s="70" t="n">
        <f aca="false">IF(AND(ISNUMBER(SKOR!G13),SKOR!G13=0),SKOR!G$5,"")</f>
        <v>3</v>
      </c>
      <c r="O50" s="70" t="n">
        <f aca="false">IF(AND(ISNUMBER(SKOR!H13),SKOR!H13=0),SKOR!H$5,"")</f>
        <v>4</v>
      </c>
      <c r="P50" s="70" t="str">
        <f aca="false">IF(AND(ISNUMBER(SKOR!I13),SKOR!I13=0),SKOR!I$5,"")</f>
        <v/>
      </c>
      <c r="Q50" s="70" t="n">
        <f aca="false">IF(AND(ISNUMBER(SKOR!J13),SKOR!J13=0),SKOR!J$5,"")</f>
        <v>6</v>
      </c>
      <c r="R50" s="70" t="str">
        <f aca="false">IF(AND(ISNUMBER(SKOR!K13),SKOR!K13=0),SKOR!K$5,"")</f>
        <v/>
      </c>
      <c r="S50" s="70" t="str">
        <f aca="false">IF(AND(ISNUMBER(SKOR!L13),SKOR!L13=0),SKOR!L$5,"")</f>
        <v/>
      </c>
      <c r="T50" s="70" t="n">
        <f aca="false">IF(AND(ISNUMBER(SKOR!M13),SKOR!M13=0),SKOR!M$5,"")</f>
        <v>9</v>
      </c>
      <c r="U50" s="70" t="n">
        <f aca="false">IF(AND(ISNUMBER(SKOR!N13),SKOR!N13=0),SKOR!N$5,"")</f>
        <v>10</v>
      </c>
      <c r="V50" s="70" t="n">
        <f aca="false">IF(AND(ISNUMBER(SKOR!O13),SKOR!O13=0),SKOR!O$5,"")</f>
        <v>11</v>
      </c>
      <c r="W50" s="70" t="n">
        <f aca="false">IF(AND(ISNUMBER(SKOR!P13),SKOR!P13=0),SKOR!P$5,"")</f>
        <v>12</v>
      </c>
      <c r="X50" s="70" t="str">
        <f aca="false">IF(AND(ISNUMBER(SKOR!Q13),SKOR!Q13=0),SKOR!Q$5,"")</f>
        <v/>
      </c>
      <c r="Y50" s="70" t="str">
        <f aca="false">IF(AND(ISNUMBER(SKOR!R13),SKOR!R13=0),SKOR!R$5,"")</f>
        <v/>
      </c>
      <c r="Z50" s="70" t="n">
        <f aca="false">IF(AND(ISNUMBER(SKOR!S13),SKOR!S13=0),SKOR!S$5,"")</f>
        <v>15</v>
      </c>
      <c r="AA50" s="70" t="n">
        <f aca="false">IF(AND(ISNUMBER(SKOR!T13),SKOR!T13=0),SKOR!T$5,"")</f>
        <v>16</v>
      </c>
      <c r="AB50" s="70" t="str">
        <f aca="false">IF(AND(ISNUMBER(SKOR!U13),SKOR!U13=0),SKOR!U$5,"")</f>
        <v/>
      </c>
      <c r="AC50" s="70" t="str">
        <f aca="false">IF(AND(ISNUMBER(SKOR!V13),SKOR!V13=0),SKOR!V$5,"")</f>
        <v/>
      </c>
      <c r="AD50" s="70" t="str">
        <f aca="false">IF(AND(ISNUMBER(SKOR!W13),SKOR!W13=0),SKOR!W$5,"")</f>
        <v/>
      </c>
      <c r="AE50" s="70" t="str">
        <f aca="false">IF(AND(ISNUMBER(SKOR!X13),SKOR!X13=0),SKOR!X$5,"")</f>
        <v/>
      </c>
      <c r="AF50" s="70" t="str">
        <f aca="false">IF(AND(ISNUMBER(SKOR!Y13),SKOR!Y13=0),SKOR!Y$5,"")</f>
        <v/>
      </c>
      <c r="AG50" s="70" t="n">
        <f aca="false">IF(AND(ISNUMBER(SKOR!Z13),SKOR!Z13=0),SKOR!Z$5,"")</f>
        <v>22</v>
      </c>
      <c r="AH50" s="70" t="n">
        <f aca="false">IF(AND(ISNUMBER(SKOR!AA13),SKOR!AA13=0),SKOR!AA$5,"")</f>
        <v>23</v>
      </c>
      <c r="AI50" s="70" t="n">
        <f aca="false">IF(AND(ISNUMBER(SKOR!AB13),SKOR!AB13=0),SKOR!AB$5,"")</f>
        <v>24</v>
      </c>
      <c r="AJ50" s="70" t="str">
        <f aca="false">IF(AND(ISNUMBER(SKOR!AC13),SKOR!AC13=0),SKOR!AC$5,"")</f>
        <v/>
      </c>
      <c r="AK50" s="70" t="n">
        <f aca="false">IF(AND(ISNUMBER(SKOR!AD13),SKOR!AD13=0),SKOR!AD$5,"")</f>
        <v>26</v>
      </c>
      <c r="AL50" s="70" t="n">
        <f aca="false">IF(AND(ISNUMBER(SKOR!AE13),SKOR!AE13=0),SKOR!AE$5,"")</f>
        <v>27</v>
      </c>
      <c r="AM50" s="70" t="n">
        <f aca="false">IF(AND(ISNUMBER(SKOR!AF13),SKOR!AF13=0),SKOR!AF$5,"")</f>
        <v>28</v>
      </c>
      <c r="AN50" s="70" t="n">
        <f aca="false">IF(AND(ISNUMBER(SKOR!AG13),SKOR!AG13=0),SKOR!AG$5,"")</f>
        <v>29</v>
      </c>
      <c r="AO50" s="70" t="str">
        <f aca="false">IF(AND(ISNUMBER(SKOR!AH13),SKOR!AH13=0),SKOR!AH$5,"")</f>
        <v/>
      </c>
      <c r="AP50" s="70" t="n">
        <f aca="false">IF(AND(ISNUMBER(SKOR!AI13),SKOR!AI13=0),SKOR!AI$5,"")</f>
        <v>31</v>
      </c>
      <c r="AQ50" s="70" t="n">
        <f aca="false">IF(AND(ISNUMBER(SKOR!AJ13),SKOR!AJ13=0),SKOR!AJ$5,"")</f>
        <v>32</v>
      </c>
      <c r="AR50" s="70" t="str">
        <f aca="false">IF(AND(ISNUMBER(SKOR!AK13),SKOR!AK13=0),SKOR!AK$5,"")</f>
        <v/>
      </c>
      <c r="AS50" s="70" t="n">
        <f aca="false">IF(AND(ISNUMBER(SKOR!AL13),SKOR!AL13=0),SKOR!AL$5,"")</f>
        <v>34</v>
      </c>
      <c r="AT50" s="70" t="str">
        <f aca="false">IF(AND(ISNUMBER(SKOR!AM13),SKOR!AM13=0),SKOR!AM$5,"")</f>
        <v/>
      </c>
      <c r="AU50" s="70" t="str">
        <f aca="false">IF(AND(ISNUMBER(SKOR!AN13),SKOR!AN13=0),SKOR!AN$5,"")</f>
        <v/>
      </c>
      <c r="AV50" s="70" t="str">
        <f aca="false">IF(AND(ISNUMBER(SKOR!AO13),SKOR!AO13=0),SKOR!AO$5,"")</f>
        <v/>
      </c>
      <c r="AW50" s="70" t="n">
        <f aca="false">IF(AND(ISNUMBER(SKOR!AP13),SKOR!AP13=0),SKOR!AP$5,"")</f>
        <v>38</v>
      </c>
      <c r="AX50" s="70" t="n">
        <f aca="false">IF(AND(ISNUMBER(SKOR!AQ13),SKOR!AQ13=0),SKOR!AQ$5,"")</f>
        <v>39</v>
      </c>
      <c r="AY50" s="70" t="str">
        <f aca="false">IF(AND(ISNUMBER(SKOR!AR13),SKOR!AR13=0),SKOR!AR$5,"")</f>
        <v/>
      </c>
    </row>
    <row r="51" customFormat="false" ht="23.85" hidden="false" customHeight="false" outlineLevel="0" collapsed="false">
      <c r="A51" s="65" t="n">
        <f aca="false">NILAI!A14</f>
        <v>9</v>
      </c>
      <c r="B51" s="66" t="str">
        <f aca="false">NILAI!B14</f>
        <v>SISWA 09</v>
      </c>
      <c r="C51" s="65" t="str">
        <f aca="false">NILAI!C14</f>
        <v>IX G</v>
      </c>
      <c r="D51" s="56" t="n">
        <f aca="false">NILAI!F14</f>
        <v>47.5</v>
      </c>
      <c r="E51" s="67" t="n">
        <f aca="false">IF(D51="","",D51-NILAI_KKM)</f>
        <v>-27.5</v>
      </c>
      <c r="F51" s="68" t="str">
        <f aca="false">IF(D51="","",IF(D51&lt;NILAI_KKM,"Remedial","Pengayaan"))</f>
        <v>Remedial</v>
      </c>
      <c r="G51" s="66" t="str">
        <f aca="false">IF(F51="","",IF(F51="Remedial",IF(D51&lt;BATAS_INTENSIF,"Remedial intensif: pembelajaran ulang + tes ulang","Remedial terbimbing: bahas butir salah + tes ulang"),IF(NILAI!I14="Atas","Pengayaan lanjut: tutor sebaya + soal HOTS","Pengayaan dasar: pendalaman + proyek")))</f>
        <v>Remedial intensif: pembelajaran ulang + tes ulang</v>
      </c>
      <c r="H51" s="66" t="str">
        <f aca="false">IF(F51="","",IF(F51="Pengayaan","-",IF(_xlfn.TEXTJOIN(", ",TRUE(),$L51:$AY51)="","-",_xlfn.TEXTJOIN(", ",TRUE(),$L51:$AY51))))</f>
        <v>4, 6, 7, 8, 9, 10, 11, 14, 16, 17, 18, 21, 22, 24, 26, 27, 28, 34, 35, 36, 39</v>
      </c>
      <c r="I51" s="69"/>
      <c r="J51" s="65" t="str">
        <f aca="false">IF(OR(F51&lt;&gt;"Remedial",I51=""),"",IF(I51&gt;=NILAI_KKM,"Tuntas","Belum tuntas"))</f>
        <v/>
      </c>
      <c r="L51" s="70" t="str">
        <f aca="false">IF(AND(ISNUMBER(SKOR!E14),SKOR!E14=0),SKOR!E$5,"")</f>
        <v/>
      </c>
      <c r="M51" s="70" t="str">
        <f aca="false">IF(AND(ISNUMBER(SKOR!F14),SKOR!F14=0),SKOR!F$5,"")</f>
        <v/>
      </c>
      <c r="N51" s="70" t="str">
        <f aca="false">IF(AND(ISNUMBER(SKOR!G14),SKOR!G14=0),SKOR!G$5,"")</f>
        <v/>
      </c>
      <c r="O51" s="70" t="n">
        <f aca="false">IF(AND(ISNUMBER(SKOR!H14),SKOR!H14=0),SKOR!H$5,"")</f>
        <v>4</v>
      </c>
      <c r="P51" s="70" t="str">
        <f aca="false">IF(AND(ISNUMBER(SKOR!I14),SKOR!I14=0),SKOR!I$5,"")</f>
        <v/>
      </c>
      <c r="Q51" s="70" t="n">
        <f aca="false">IF(AND(ISNUMBER(SKOR!J14),SKOR!J14=0),SKOR!J$5,"")</f>
        <v>6</v>
      </c>
      <c r="R51" s="70" t="n">
        <f aca="false">IF(AND(ISNUMBER(SKOR!K14),SKOR!K14=0),SKOR!K$5,"")</f>
        <v>7</v>
      </c>
      <c r="S51" s="70" t="n">
        <f aca="false">IF(AND(ISNUMBER(SKOR!L14),SKOR!L14=0),SKOR!L$5,"")</f>
        <v>8</v>
      </c>
      <c r="T51" s="70" t="n">
        <f aca="false">IF(AND(ISNUMBER(SKOR!M14),SKOR!M14=0),SKOR!M$5,"")</f>
        <v>9</v>
      </c>
      <c r="U51" s="70" t="n">
        <f aca="false">IF(AND(ISNUMBER(SKOR!N14),SKOR!N14=0),SKOR!N$5,"")</f>
        <v>10</v>
      </c>
      <c r="V51" s="70" t="n">
        <f aca="false">IF(AND(ISNUMBER(SKOR!O14),SKOR!O14=0),SKOR!O$5,"")</f>
        <v>11</v>
      </c>
      <c r="W51" s="70" t="str">
        <f aca="false">IF(AND(ISNUMBER(SKOR!P14),SKOR!P14=0),SKOR!P$5,"")</f>
        <v/>
      </c>
      <c r="X51" s="70" t="str">
        <f aca="false">IF(AND(ISNUMBER(SKOR!Q14),SKOR!Q14=0),SKOR!Q$5,"")</f>
        <v/>
      </c>
      <c r="Y51" s="70" t="n">
        <f aca="false">IF(AND(ISNUMBER(SKOR!R14),SKOR!R14=0),SKOR!R$5,"")</f>
        <v>14</v>
      </c>
      <c r="Z51" s="70" t="str">
        <f aca="false">IF(AND(ISNUMBER(SKOR!S14),SKOR!S14=0),SKOR!S$5,"")</f>
        <v/>
      </c>
      <c r="AA51" s="70" t="n">
        <f aca="false">IF(AND(ISNUMBER(SKOR!T14),SKOR!T14=0),SKOR!T$5,"")</f>
        <v>16</v>
      </c>
      <c r="AB51" s="70" t="n">
        <f aca="false">IF(AND(ISNUMBER(SKOR!U14),SKOR!U14=0),SKOR!U$5,"")</f>
        <v>17</v>
      </c>
      <c r="AC51" s="70" t="n">
        <f aca="false">IF(AND(ISNUMBER(SKOR!V14),SKOR!V14=0),SKOR!V$5,"")</f>
        <v>18</v>
      </c>
      <c r="AD51" s="70" t="str">
        <f aca="false">IF(AND(ISNUMBER(SKOR!W14),SKOR!W14=0),SKOR!W$5,"")</f>
        <v/>
      </c>
      <c r="AE51" s="70" t="str">
        <f aca="false">IF(AND(ISNUMBER(SKOR!X14),SKOR!X14=0),SKOR!X$5,"")</f>
        <v/>
      </c>
      <c r="AF51" s="70" t="n">
        <f aca="false">IF(AND(ISNUMBER(SKOR!Y14),SKOR!Y14=0),SKOR!Y$5,"")</f>
        <v>21</v>
      </c>
      <c r="AG51" s="70" t="n">
        <f aca="false">IF(AND(ISNUMBER(SKOR!Z14),SKOR!Z14=0),SKOR!Z$5,"")</f>
        <v>22</v>
      </c>
      <c r="AH51" s="70" t="str">
        <f aca="false">IF(AND(ISNUMBER(SKOR!AA14),SKOR!AA14=0),SKOR!AA$5,"")</f>
        <v/>
      </c>
      <c r="AI51" s="70" t="n">
        <f aca="false">IF(AND(ISNUMBER(SKOR!AB14),SKOR!AB14=0),SKOR!AB$5,"")</f>
        <v>24</v>
      </c>
      <c r="AJ51" s="70" t="str">
        <f aca="false">IF(AND(ISNUMBER(SKOR!AC14),SKOR!AC14=0),SKOR!AC$5,"")</f>
        <v/>
      </c>
      <c r="AK51" s="70" t="n">
        <f aca="false">IF(AND(ISNUMBER(SKOR!AD14),SKOR!AD14=0),SKOR!AD$5,"")</f>
        <v>26</v>
      </c>
      <c r="AL51" s="70" t="n">
        <f aca="false">IF(AND(ISNUMBER(SKOR!AE14),SKOR!AE14=0),SKOR!AE$5,"")</f>
        <v>27</v>
      </c>
      <c r="AM51" s="70" t="n">
        <f aca="false">IF(AND(ISNUMBER(SKOR!AF14),SKOR!AF14=0),SKOR!AF$5,"")</f>
        <v>28</v>
      </c>
      <c r="AN51" s="70" t="str">
        <f aca="false">IF(AND(ISNUMBER(SKOR!AG14),SKOR!AG14=0),SKOR!AG$5,"")</f>
        <v/>
      </c>
      <c r="AO51" s="70" t="str">
        <f aca="false">IF(AND(ISNUMBER(SKOR!AH14),SKOR!AH14=0),SKOR!AH$5,"")</f>
        <v/>
      </c>
      <c r="AP51" s="70" t="str">
        <f aca="false">IF(AND(ISNUMBER(SKOR!AI14),SKOR!AI14=0),SKOR!AI$5,"")</f>
        <v/>
      </c>
      <c r="AQ51" s="70" t="str">
        <f aca="false">IF(AND(ISNUMBER(SKOR!AJ14),SKOR!AJ14=0),SKOR!AJ$5,"")</f>
        <v/>
      </c>
      <c r="AR51" s="70" t="str">
        <f aca="false">IF(AND(ISNUMBER(SKOR!AK14),SKOR!AK14=0),SKOR!AK$5,"")</f>
        <v/>
      </c>
      <c r="AS51" s="70" t="n">
        <f aca="false">IF(AND(ISNUMBER(SKOR!AL14),SKOR!AL14=0),SKOR!AL$5,"")</f>
        <v>34</v>
      </c>
      <c r="AT51" s="70" t="n">
        <f aca="false">IF(AND(ISNUMBER(SKOR!AM14),SKOR!AM14=0),SKOR!AM$5,"")</f>
        <v>35</v>
      </c>
      <c r="AU51" s="70" t="n">
        <f aca="false">IF(AND(ISNUMBER(SKOR!AN14),SKOR!AN14=0),SKOR!AN$5,"")</f>
        <v>36</v>
      </c>
      <c r="AV51" s="70" t="str">
        <f aca="false">IF(AND(ISNUMBER(SKOR!AO14),SKOR!AO14=0),SKOR!AO$5,"")</f>
        <v/>
      </c>
      <c r="AW51" s="70" t="str">
        <f aca="false">IF(AND(ISNUMBER(SKOR!AP14),SKOR!AP14=0),SKOR!AP$5,"")</f>
        <v/>
      </c>
      <c r="AX51" s="70" t="n">
        <f aca="false">IF(AND(ISNUMBER(SKOR!AQ14),SKOR!AQ14=0),SKOR!AQ$5,"")</f>
        <v>39</v>
      </c>
      <c r="AY51" s="70" t="str">
        <f aca="false">IF(AND(ISNUMBER(SKOR!AR14),SKOR!AR14=0),SKOR!AR$5,"")</f>
        <v/>
      </c>
    </row>
    <row r="52" customFormat="false" ht="24.75" hidden="false" customHeight="true" outlineLevel="0" collapsed="false">
      <c r="A52" s="65" t="n">
        <f aca="false">NILAI!A15</f>
        <v>10</v>
      </c>
      <c r="B52" s="66" t="str">
        <f aca="false">NILAI!B15</f>
        <v>SISWA 10</v>
      </c>
      <c r="C52" s="65" t="str">
        <f aca="false">NILAI!C15</f>
        <v>IX G</v>
      </c>
      <c r="D52" s="56" t="n">
        <f aca="false">NILAI!F15</f>
        <v>50</v>
      </c>
      <c r="E52" s="67" t="n">
        <f aca="false">IF(D52="","",D52-NILAI_KKM)</f>
        <v>-25</v>
      </c>
      <c r="F52" s="68" t="str">
        <f aca="false">IF(D52="","",IF(D52&lt;NILAI_KKM,"Remedial","Pengayaan"))</f>
        <v>Remedial</v>
      </c>
      <c r="G52" s="66" t="str">
        <f aca="false">IF(F52="","",IF(F52="Remedial",IF(D52&lt;BATAS_INTENSIF,"Remedial intensif: pembelajaran ulang + tes ulang","Remedial terbimbing: bahas butir salah + tes ulang"),IF(NILAI!I15="Atas","Pengayaan lanjut: tutor sebaya + soal HOTS","Pengayaan dasar: pendalaman + proyek")))</f>
        <v>Remedial terbimbing: bahas butir salah + tes ulang</v>
      </c>
      <c r="H52" s="66" t="str">
        <f aca="false">IF(F52="","",IF(F52="Pengayaan","-",IF(_xlfn.TEXTJOIN(", ",TRUE(),$L52:$AY52)="","-",_xlfn.TEXTJOIN(", ",TRUE(),$L52:$AY52))))</f>
        <v>6, 7, 8, 9, 10, 11, 14, 15, 16, 17, 18, 21, 22, 23, 26, 27, 28, 29, 31, 37</v>
      </c>
      <c r="I52" s="69"/>
      <c r="J52" s="65" t="str">
        <f aca="false">IF(OR(F52&lt;&gt;"Remedial",I52=""),"",IF(I52&gt;=NILAI_KKM,"Tuntas","Belum tuntas"))</f>
        <v/>
      </c>
      <c r="L52" s="70" t="str">
        <f aca="false">IF(AND(ISNUMBER(SKOR!E15),SKOR!E15=0),SKOR!E$5,"")</f>
        <v/>
      </c>
      <c r="M52" s="70" t="str">
        <f aca="false">IF(AND(ISNUMBER(SKOR!F15),SKOR!F15=0),SKOR!F$5,"")</f>
        <v/>
      </c>
      <c r="N52" s="70" t="str">
        <f aca="false">IF(AND(ISNUMBER(SKOR!G15),SKOR!G15=0),SKOR!G$5,"")</f>
        <v/>
      </c>
      <c r="O52" s="70" t="str">
        <f aca="false">IF(AND(ISNUMBER(SKOR!H15),SKOR!H15=0),SKOR!H$5,"")</f>
        <v/>
      </c>
      <c r="P52" s="70" t="str">
        <f aca="false">IF(AND(ISNUMBER(SKOR!I15),SKOR!I15=0),SKOR!I$5,"")</f>
        <v/>
      </c>
      <c r="Q52" s="70" t="n">
        <f aca="false">IF(AND(ISNUMBER(SKOR!J15),SKOR!J15=0),SKOR!J$5,"")</f>
        <v>6</v>
      </c>
      <c r="R52" s="70" t="n">
        <f aca="false">IF(AND(ISNUMBER(SKOR!K15),SKOR!K15=0),SKOR!K$5,"")</f>
        <v>7</v>
      </c>
      <c r="S52" s="70" t="n">
        <f aca="false">IF(AND(ISNUMBER(SKOR!L15),SKOR!L15=0),SKOR!L$5,"")</f>
        <v>8</v>
      </c>
      <c r="T52" s="70" t="n">
        <f aca="false">IF(AND(ISNUMBER(SKOR!M15),SKOR!M15=0),SKOR!M$5,"")</f>
        <v>9</v>
      </c>
      <c r="U52" s="70" t="n">
        <f aca="false">IF(AND(ISNUMBER(SKOR!N15),SKOR!N15=0),SKOR!N$5,"")</f>
        <v>10</v>
      </c>
      <c r="V52" s="70" t="n">
        <f aca="false">IF(AND(ISNUMBER(SKOR!O15),SKOR!O15=0),SKOR!O$5,"")</f>
        <v>11</v>
      </c>
      <c r="W52" s="70" t="str">
        <f aca="false">IF(AND(ISNUMBER(SKOR!P15),SKOR!P15=0),SKOR!P$5,"")</f>
        <v/>
      </c>
      <c r="X52" s="70" t="str">
        <f aca="false">IF(AND(ISNUMBER(SKOR!Q15),SKOR!Q15=0),SKOR!Q$5,"")</f>
        <v/>
      </c>
      <c r="Y52" s="70" t="n">
        <f aca="false">IF(AND(ISNUMBER(SKOR!R15),SKOR!R15=0),SKOR!R$5,"")</f>
        <v>14</v>
      </c>
      <c r="Z52" s="70" t="n">
        <f aca="false">IF(AND(ISNUMBER(SKOR!S15),SKOR!S15=0),SKOR!S$5,"")</f>
        <v>15</v>
      </c>
      <c r="AA52" s="70" t="n">
        <f aca="false">IF(AND(ISNUMBER(SKOR!T15),SKOR!T15=0),SKOR!T$5,"")</f>
        <v>16</v>
      </c>
      <c r="AB52" s="70" t="n">
        <f aca="false">IF(AND(ISNUMBER(SKOR!U15),SKOR!U15=0),SKOR!U$5,"")</f>
        <v>17</v>
      </c>
      <c r="AC52" s="70" t="n">
        <f aca="false">IF(AND(ISNUMBER(SKOR!V15),SKOR!V15=0),SKOR!V$5,"")</f>
        <v>18</v>
      </c>
      <c r="AD52" s="70" t="str">
        <f aca="false">IF(AND(ISNUMBER(SKOR!W15),SKOR!W15=0),SKOR!W$5,"")</f>
        <v/>
      </c>
      <c r="AE52" s="70" t="str">
        <f aca="false">IF(AND(ISNUMBER(SKOR!X15),SKOR!X15=0),SKOR!X$5,"")</f>
        <v/>
      </c>
      <c r="AF52" s="70" t="n">
        <f aca="false">IF(AND(ISNUMBER(SKOR!Y15),SKOR!Y15=0),SKOR!Y$5,"")</f>
        <v>21</v>
      </c>
      <c r="AG52" s="70" t="n">
        <f aca="false">IF(AND(ISNUMBER(SKOR!Z15),SKOR!Z15=0),SKOR!Z$5,"")</f>
        <v>22</v>
      </c>
      <c r="AH52" s="70" t="n">
        <f aca="false">IF(AND(ISNUMBER(SKOR!AA15),SKOR!AA15=0),SKOR!AA$5,"")</f>
        <v>23</v>
      </c>
      <c r="AI52" s="70" t="str">
        <f aca="false">IF(AND(ISNUMBER(SKOR!AB15),SKOR!AB15=0),SKOR!AB$5,"")</f>
        <v/>
      </c>
      <c r="AJ52" s="70" t="str">
        <f aca="false">IF(AND(ISNUMBER(SKOR!AC15),SKOR!AC15=0),SKOR!AC$5,"")</f>
        <v/>
      </c>
      <c r="AK52" s="70" t="n">
        <f aca="false">IF(AND(ISNUMBER(SKOR!AD15),SKOR!AD15=0),SKOR!AD$5,"")</f>
        <v>26</v>
      </c>
      <c r="AL52" s="70" t="n">
        <f aca="false">IF(AND(ISNUMBER(SKOR!AE15),SKOR!AE15=0),SKOR!AE$5,"")</f>
        <v>27</v>
      </c>
      <c r="AM52" s="70" t="n">
        <f aca="false">IF(AND(ISNUMBER(SKOR!AF15),SKOR!AF15=0),SKOR!AF$5,"")</f>
        <v>28</v>
      </c>
      <c r="AN52" s="70" t="n">
        <f aca="false">IF(AND(ISNUMBER(SKOR!AG15),SKOR!AG15=0),SKOR!AG$5,"")</f>
        <v>29</v>
      </c>
      <c r="AO52" s="70" t="str">
        <f aca="false">IF(AND(ISNUMBER(SKOR!AH15),SKOR!AH15=0),SKOR!AH$5,"")</f>
        <v/>
      </c>
      <c r="AP52" s="70" t="n">
        <f aca="false">IF(AND(ISNUMBER(SKOR!AI15),SKOR!AI15=0),SKOR!AI$5,"")</f>
        <v>31</v>
      </c>
      <c r="AQ52" s="70" t="str">
        <f aca="false">IF(AND(ISNUMBER(SKOR!AJ15),SKOR!AJ15=0),SKOR!AJ$5,"")</f>
        <v/>
      </c>
      <c r="AR52" s="70" t="str">
        <f aca="false">IF(AND(ISNUMBER(SKOR!AK15),SKOR!AK15=0),SKOR!AK$5,"")</f>
        <v/>
      </c>
      <c r="AS52" s="70" t="str">
        <f aca="false">IF(AND(ISNUMBER(SKOR!AL15),SKOR!AL15=0),SKOR!AL$5,"")</f>
        <v/>
      </c>
      <c r="AT52" s="70" t="str">
        <f aca="false">IF(AND(ISNUMBER(SKOR!AM15),SKOR!AM15=0),SKOR!AM$5,"")</f>
        <v/>
      </c>
      <c r="AU52" s="70" t="str">
        <f aca="false">IF(AND(ISNUMBER(SKOR!AN15),SKOR!AN15=0),SKOR!AN$5,"")</f>
        <v/>
      </c>
      <c r="AV52" s="70" t="n">
        <f aca="false">IF(AND(ISNUMBER(SKOR!AO15),SKOR!AO15=0),SKOR!AO$5,"")</f>
        <v>37</v>
      </c>
      <c r="AW52" s="70" t="str">
        <f aca="false">IF(AND(ISNUMBER(SKOR!AP15),SKOR!AP15=0),SKOR!AP$5,"")</f>
        <v/>
      </c>
      <c r="AX52" s="70" t="str">
        <f aca="false">IF(AND(ISNUMBER(SKOR!AQ15),SKOR!AQ15=0),SKOR!AQ$5,"")</f>
        <v/>
      </c>
      <c r="AY52" s="70" t="str">
        <f aca="false">IF(AND(ISNUMBER(SKOR!AR15),SKOR!AR15=0),SKOR!AR$5,"")</f>
        <v/>
      </c>
    </row>
    <row r="53" customFormat="false" ht="14.25" hidden="false" customHeight="false" outlineLevel="0" collapsed="false">
      <c r="A53" s="65" t="n">
        <f aca="false">NILAI!A16</f>
        <v>11</v>
      </c>
      <c r="B53" s="66" t="str">
        <f aca="false">NILAI!B16</f>
        <v>SISWA 11</v>
      </c>
      <c r="C53" s="65" t="str">
        <f aca="false">NILAI!C16</f>
        <v>IX G</v>
      </c>
      <c r="D53" s="56" t="n">
        <f aca="false">NILAI!F16</f>
        <v>72.5</v>
      </c>
      <c r="E53" s="67" t="n">
        <f aca="false">IF(D53="","",D53-NILAI_KKM)</f>
        <v>-2.5</v>
      </c>
      <c r="F53" s="68" t="str">
        <f aca="false">IF(D53="","",IF(D53&lt;NILAI_KKM,"Remedial","Pengayaan"))</f>
        <v>Remedial</v>
      </c>
      <c r="G53" s="66" t="str">
        <f aca="false">IF(F53="","",IF(F53="Remedial",IF(D53&lt;BATAS_INTENSIF,"Remedial intensif: pembelajaran ulang + tes ulang","Remedial terbimbing: bahas butir salah + tes ulang"),IF(NILAI!I16="Atas","Pengayaan lanjut: tutor sebaya + soal HOTS","Pengayaan dasar: pendalaman + proyek")))</f>
        <v>Remedial terbimbing: bahas butir salah + tes ulang</v>
      </c>
      <c r="H53" s="66" t="str">
        <f aca="false">IF(F53="","",IF(F53="Pengayaan","-",IF(_xlfn.TEXTJOIN(", ",TRUE(),$L53:$AY53)="","-",_xlfn.TEXTJOIN(", ",TRUE(),$L53:$AY53))))</f>
        <v>3, 5, 9, 11, 17, 19, 28, 30, 31, 32, 38</v>
      </c>
      <c r="I53" s="69"/>
      <c r="J53" s="65" t="str">
        <f aca="false">IF(OR(F53&lt;&gt;"Remedial",I53=""),"",IF(I53&gt;=NILAI_KKM,"Tuntas","Belum tuntas"))</f>
        <v/>
      </c>
      <c r="L53" s="70" t="str">
        <f aca="false">IF(AND(ISNUMBER(SKOR!E16),SKOR!E16=0),SKOR!E$5,"")</f>
        <v/>
      </c>
      <c r="M53" s="70" t="str">
        <f aca="false">IF(AND(ISNUMBER(SKOR!F16),SKOR!F16=0),SKOR!F$5,"")</f>
        <v/>
      </c>
      <c r="N53" s="70" t="n">
        <f aca="false">IF(AND(ISNUMBER(SKOR!G16),SKOR!G16=0),SKOR!G$5,"")</f>
        <v>3</v>
      </c>
      <c r="O53" s="70" t="str">
        <f aca="false">IF(AND(ISNUMBER(SKOR!H16),SKOR!H16=0),SKOR!H$5,"")</f>
        <v/>
      </c>
      <c r="P53" s="70" t="n">
        <f aca="false">IF(AND(ISNUMBER(SKOR!I16),SKOR!I16=0),SKOR!I$5,"")</f>
        <v>5</v>
      </c>
      <c r="Q53" s="70" t="str">
        <f aca="false">IF(AND(ISNUMBER(SKOR!J16),SKOR!J16=0),SKOR!J$5,"")</f>
        <v/>
      </c>
      <c r="R53" s="70" t="str">
        <f aca="false">IF(AND(ISNUMBER(SKOR!K16),SKOR!K16=0),SKOR!K$5,"")</f>
        <v/>
      </c>
      <c r="S53" s="70" t="str">
        <f aca="false">IF(AND(ISNUMBER(SKOR!L16),SKOR!L16=0),SKOR!L$5,"")</f>
        <v/>
      </c>
      <c r="T53" s="70" t="n">
        <f aca="false">IF(AND(ISNUMBER(SKOR!M16),SKOR!M16=0),SKOR!M$5,"")</f>
        <v>9</v>
      </c>
      <c r="U53" s="70" t="str">
        <f aca="false">IF(AND(ISNUMBER(SKOR!N16),SKOR!N16=0),SKOR!N$5,"")</f>
        <v/>
      </c>
      <c r="V53" s="70" t="n">
        <f aca="false">IF(AND(ISNUMBER(SKOR!O16),SKOR!O16=0),SKOR!O$5,"")</f>
        <v>11</v>
      </c>
      <c r="W53" s="70" t="str">
        <f aca="false">IF(AND(ISNUMBER(SKOR!P16),SKOR!P16=0),SKOR!P$5,"")</f>
        <v/>
      </c>
      <c r="X53" s="70" t="str">
        <f aca="false">IF(AND(ISNUMBER(SKOR!Q16),SKOR!Q16=0),SKOR!Q$5,"")</f>
        <v/>
      </c>
      <c r="Y53" s="70" t="str">
        <f aca="false">IF(AND(ISNUMBER(SKOR!R16),SKOR!R16=0),SKOR!R$5,"")</f>
        <v/>
      </c>
      <c r="Z53" s="70" t="str">
        <f aca="false">IF(AND(ISNUMBER(SKOR!S16),SKOR!S16=0),SKOR!S$5,"")</f>
        <v/>
      </c>
      <c r="AA53" s="70" t="str">
        <f aca="false">IF(AND(ISNUMBER(SKOR!T16),SKOR!T16=0),SKOR!T$5,"")</f>
        <v/>
      </c>
      <c r="AB53" s="70" t="n">
        <f aca="false">IF(AND(ISNUMBER(SKOR!U16),SKOR!U16=0),SKOR!U$5,"")</f>
        <v>17</v>
      </c>
      <c r="AC53" s="70" t="str">
        <f aca="false">IF(AND(ISNUMBER(SKOR!V16),SKOR!V16=0),SKOR!V$5,"")</f>
        <v/>
      </c>
      <c r="AD53" s="70" t="n">
        <f aca="false">IF(AND(ISNUMBER(SKOR!W16),SKOR!W16=0),SKOR!W$5,"")</f>
        <v>19</v>
      </c>
      <c r="AE53" s="70" t="str">
        <f aca="false">IF(AND(ISNUMBER(SKOR!X16),SKOR!X16=0),SKOR!X$5,"")</f>
        <v/>
      </c>
      <c r="AF53" s="70" t="str">
        <f aca="false">IF(AND(ISNUMBER(SKOR!Y16),SKOR!Y16=0),SKOR!Y$5,"")</f>
        <v/>
      </c>
      <c r="AG53" s="70" t="str">
        <f aca="false">IF(AND(ISNUMBER(SKOR!Z16),SKOR!Z16=0),SKOR!Z$5,"")</f>
        <v/>
      </c>
      <c r="AH53" s="70" t="str">
        <f aca="false">IF(AND(ISNUMBER(SKOR!AA16),SKOR!AA16=0),SKOR!AA$5,"")</f>
        <v/>
      </c>
      <c r="AI53" s="70" t="str">
        <f aca="false">IF(AND(ISNUMBER(SKOR!AB16),SKOR!AB16=0),SKOR!AB$5,"")</f>
        <v/>
      </c>
      <c r="AJ53" s="70" t="str">
        <f aca="false">IF(AND(ISNUMBER(SKOR!AC16),SKOR!AC16=0),SKOR!AC$5,"")</f>
        <v/>
      </c>
      <c r="AK53" s="70" t="str">
        <f aca="false">IF(AND(ISNUMBER(SKOR!AD16),SKOR!AD16=0),SKOR!AD$5,"")</f>
        <v/>
      </c>
      <c r="AL53" s="70" t="str">
        <f aca="false">IF(AND(ISNUMBER(SKOR!AE16),SKOR!AE16=0),SKOR!AE$5,"")</f>
        <v/>
      </c>
      <c r="AM53" s="70" t="n">
        <f aca="false">IF(AND(ISNUMBER(SKOR!AF16),SKOR!AF16=0),SKOR!AF$5,"")</f>
        <v>28</v>
      </c>
      <c r="AN53" s="70" t="str">
        <f aca="false">IF(AND(ISNUMBER(SKOR!AG16),SKOR!AG16=0),SKOR!AG$5,"")</f>
        <v/>
      </c>
      <c r="AO53" s="70" t="n">
        <f aca="false">IF(AND(ISNUMBER(SKOR!AH16),SKOR!AH16=0),SKOR!AH$5,"")</f>
        <v>30</v>
      </c>
      <c r="AP53" s="70" t="n">
        <f aca="false">IF(AND(ISNUMBER(SKOR!AI16),SKOR!AI16=0),SKOR!AI$5,"")</f>
        <v>31</v>
      </c>
      <c r="AQ53" s="70" t="n">
        <f aca="false">IF(AND(ISNUMBER(SKOR!AJ16),SKOR!AJ16=0),SKOR!AJ$5,"")</f>
        <v>32</v>
      </c>
      <c r="AR53" s="70" t="str">
        <f aca="false">IF(AND(ISNUMBER(SKOR!AK16),SKOR!AK16=0),SKOR!AK$5,"")</f>
        <v/>
      </c>
      <c r="AS53" s="70" t="str">
        <f aca="false">IF(AND(ISNUMBER(SKOR!AL16),SKOR!AL16=0),SKOR!AL$5,"")</f>
        <v/>
      </c>
      <c r="AT53" s="70" t="str">
        <f aca="false">IF(AND(ISNUMBER(SKOR!AM16),SKOR!AM16=0),SKOR!AM$5,"")</f>
        <v/>
      </c>
      <c r="AU53" s="70" t="str">
        <f aca="false">IF(AND(ISNUMBER(SKOR!AN16),SKOR!AN16=0),SKOR!AN$5,"")</f>
        <v/>
      </c>
      <c r="AV53" s="70" t="str">
        <f aca="false">IF(AND(ISNUMBER(SKOR!AO16),SKOR!AO16=0),SKOR!AO$5,"")</f>
        <v/>
      </c>
      <c r="AW53" s="70" t="n">
        <f aca="false">IF(AND(ISNUMBER(SKOR!AP16),SKOR!AP16=0),SKOR!AP$5,"")</f>
        <v>38</v>
      </c>
      <c r="AX53" s="70" t="str">
        <f aca="false">IF(AND(ISNUMBER(SKOR!AQ16),SKOR!AQ16=0),SKOR!AQ$5,"")</f>
        <v/>
      </c>
      <c r="AY53" s="70" t="str">
        <f aca="false">IF(AND(ISNUMBER(SKOR!AR16),SKOR!AR16=0),SKOR!AR$5,"")</f>
        <v/>
      </c>
    </row>
    <row r="54" customFormat="false" ht="24.75" hidden="false" customHeight="true" outlineLevel="0" collapsed="false">
      <c r="A54" s="65" t="n">
        <f aca="false">NILAI!A17</f>
        <v>12</v>
      </c>
      <c r="B54" s="66" t="str">
        <f aca="false">NILAI!B17</f>
        <v>SISWA 12</v>
      </c>
      <c r="C54" s="65" t="str">
        <f aca="false">NILAI!C17</f>
        <v>IX G</v>
      </c>
      <c r="D54" s="56" t="n">
        <f aca="false">NILAI!F17</f>
        <v>57.5</v>
      </c>
      <c r="E54" s="67" t="n">
        <f aca="false">IF(D54="","",D54-NILAI_KKM)</f>
        <v>-17.5</v>
      </c>
      <c r="F54" s="68" t="str">
        <f aca="false">IF(D54="","",IF(D54&lt;NILAI_KKM,"Remedial","Pengayaan"))</f>
        <v>Remedial</v>
      </c>
      <c r="G54" s="66" t="str">
        <f aca="false">IF(F54="","",IF(F54="Remedial",IF(D54&lt;BATAS_INTENSIF,"Remedial intensif: pembelajaran ulang + tes ulang","Remedial terbimbing: bahas butir salah + tes ulang"),IF(NILAI!I17="Atas","Pengayaan lanjut: tutor sebaya + soal HOTS","Pengayaan dasar: pendalaman + proyek")))</f>
        <v>Remedial terbimbing: bahas butir salah + tes ulang</v>
      </c>
      <c r="H54" s="66" t="str">
        <f aca="false">IF(F54="","",IF(F54="Pengayaan","-",IF(_xlfn.TEXTJOIN(", ",TRUE(),$L54:$AY54)="","-",_xlfn.TEXTJOIN(", ",TRUE(),$L54:$AY54))))</f>
        <v>3, 7, 9, 13, 15, 16, 17, 18, 19, 20, 22, 25, 27, 28, 29, 30, 37</v>
      </c>
      <c r="I54" s="69"/>
      <c r="J54" s="65" t="str">
        <f aca="false">IF(OR(F54&lt;&gt;"Remedial",I54=""),"",IF(I54&gt;=NILAI_KKM,"Tuntas","Belum tuntas"))</f>
        <v/>
      </c>
      <c r="L54" s="70" t="str">
        <f aca="false">IF(AND(ISNUMBER(SKOR!E17),SKOR!E17=0),SKOR!E$5,"")</f>
        <v/>
      </c>
      <c r="M54" s="70" t="str">
        <f aca="false">IF(AND(ISNUMBER(SKOR!F17),SKOR!F17=0),SKOR!F$5,"")</f>
        <v/>
      </c>
      <c r="N54" s="70" t="n">
        <f aca="false">IF(AND(ISNUMBER(SKOR!G17),SKOR!G17=0),SKOR!G$5,"")</f>
        <v>3</v>
      </c>
      <c r="O54" s="70" t="str">
        <f aca="false">IF(AND(ISNUMBER(SKOR!H17),SKOR!H17=0),SKOR!H$5,"")</f>
        <v/>
      </c>
      <c r="P54" s="70" t="str">
        <f aca="false">IF(AND(ISNUMBER(SKOR!I17),SKOR!I17=0),SKOR!I$5,"")</f>
        <v/>
      </c>
      <c r="Q54" s="70" t="str">
        <f aca="false">IF(AND(ISNUMBER(SKOR!J17),SKOR!J17=0),SKOR!J$5,"")</f>
        <v/>
      </c>
      <c r="R54" s="70" t="n">
        <f aca="false">IF(AND(ISNUMBER(SKOR!K17),SKOR!K17=0),SKOR!K$5,"")</f>
        <v>7</v>
      </c>
      <c r="S54" s="70" t="str">
        <f aca="false">IF(AND(ISNUMBER(SKOR!L17),SKOR!L17=0),SKOR!L$5,"")</f>
        <v/>
      </c>
      <c r="T54" s="70" t="n">
        <f aca="false">IF(AND(ISNUMBER(SKOR!M17),SKOR!M17=0),SKOR!M$5,"")</f>
        <v>9</v>
      </c>
      <c r="U54" s="70" t="str">
        <f aca="false">IF(AND(ISNUMBER(SKOR!N17),SKOR!N17=0),SKOR!N$5,"")</f>
        <v/>
      </c>
      <c r="V54" s="70" t="str">
        <f aca="false">IF(AND(ISNUMBER(SKOR!O17),SKOR!O17=0),SKOR!O$5,"")</f>
        <v/>
      </c>
      <c r="W54" s="70" t="str">
        <f aca="false">IF(AND(ISNUMBER(SKOR!P17),SKOR!P17=0),SKOR!P$5,"")</f>
        <v/>
      </c>
      <c r="X54" s="70" t="n">
        <f aca="false">IF(AND(ISNUMBER(SKOR!Q17),SKOR!Q17=0),SKOR!Q$5,"")</f>
        <v>13</v>
      </c>
      <c r="Y54" s="70" t="str">
        <f aca="false">IF(AND(ISNUMBER(SKOR!R17),SKOR!R17=0),SKOR!R$5,"")</f>
        <v/>
      </c>
      <c r="Z54" s="70" t="n">
        <f aca="false">IF(AND(ISNUMBER(SKOR!S17),SKOR!S17=0),SKOR!S$5,"")</f>
        <v>15</v>
      </c>
      <c r="AA54" s="70" t="n">
        <f aca="false">IF(AND(ISNUMBER(SKOR!T17),SKOR!T17=0),SKOR!T$5,"")</f>
        <v>16</v>
      </c>
      <c r="AB54" s="70" t="n">
        <f aca="false">IF(AND(ISNUMBER(SKOR!U17),SKOR!U17=0),SKOR!U$5,"")</f>
        <v>17</v>
      </c>
      <c r="AC54" s="70" t="n">
        <f aca="false">IF(AND(ISNUMBER(SKOR!V17),SKOR!V17=0),SKOR!V$5,"")</f>
        <v>18</v>
      </c>
      <c r="AD54" s="70" t="n">
        <f aca="false">IF(AND(ISNUMBER(SKOR!W17),SKOR!W17=0),SKOR!W$5,"")</f>
        <v>19</v>
      </c>
      <c r="AE54" s="70" t="n">
        <f aca="false">IF(AND(ISNUMBER(SKOR!X17),SKOR!X17=0),SKOR!X$5,"")</f>
        <v>20</v>
      </c>
      <c r="AF54" s="70" t="str">
        <f aca="false">IF(AND(ISNUMBER(SKOR!Y17),SKOR!Y17=0),SKOR!Y$5,"")</f>
        <v/>
      </c>
      <c r="AG54" s="70" t="n">
        <f aca="false">IF(AND(ISNUMBER(SKOR!Z17),SKOR!Z17=0),SKOR!Z$5,"")</f>
        <v>22</v>
      </c>
      <c r="AH54" s="70" t="str">
        <f aca="false">IF(AND(ISNUMBER(SKOR!AA17),SKOR!AA17=0),SKOR!AA$5,"")</f>
        <v/>
      </c>
      <c r="AI54" s="70" t="str">
        <f aca="false">IF(AND(ISNUMBER(SKOR!AB17),SKOR!AB17=0),SKOR!AB$5,"")</f>
        <v/>
      </c>
      <c r="AJ54" s="70" t="n">
        <f aca="false">IF(AND(ISNUMBER(SKOR!AC17),SKOR!AC17=0),SKOR!AC$5,"")</f>
        <v>25</v>
      </c>
      <c r="AK54" s="70" t="str">
        <f aca="false">IF(AND(ISNUMBER(SKOR!AD17),SKOR!AD17=0),SKOR!AD$5,"")</f>
        <v/>
      </c>
      <c r="AL54" s="70" t="n">
        <f aca="false">IF(AND(ISNUMBER(SKOR!AE17),SKOR!AE17=0),SKOR!AE$5,"")</f>
        <v>27</v>
      </c>
      <c r="AM54" s="70" t="n">
        <f aca="false">IF(AND(ISNUMBER(SKOR!AF17),SKOR!AF17=0),SKOR!AF$5,"")</f>
        <v>28</v>
      </c>
      <c r="AN54" s="70" t="n">
        <f aca="false">IF(AND(ISNUMBER(SKOR!AG17),SKOR!AG17=0),SKOR!AG$5,"")</f>
        <v>29</v>
      </c>
      <c r="AO54" s="70" t="n">
        <f aca="false">IF(AND(ISNUMBER(SKOR!AH17),SKOR!AH17=0),SKOR!AH$5,"")</f>
        <v>30</v>
      </c>
      <c r="AP54" s="70" t="str">
        <f aca="false">IF(AND(ISNUMBER(SKOR!AI17),SKOR!AI17=0),SKOR!AI$5,"")</f>
        <v/>
      </c>
      <c r="AQ54" s="70" t="str">
        <f aca="false">IF(AND(ISNUMBER(SKOR!AJ17),SKOR!AJ17=0),SKOR!AJ$5,"")</f>
        <v/>
      </c>
      <c r="AR54" s="70" t="str">
        <f aca="false">IF(AND(ISNUMBER(SKOR!AK17),SKOR!AK17=0),SKOR!AK$5,"")</f>
        <v/>
      </c>
      <c r="AS54" s="70" t="str">
        <f aca="false">IF(AND(ISNUMBER(SKOR!AL17),SKOR!AL17=0),SKOR!AL$5,"")</f>
        <v/>
      </c>
      <c r="AT54" s="70" t="str">
        <f aca="false">IF(AND(ISNUMBER(SKOR!AM17),SKOR!AM17=0),SKOR!AM$5,"")</f>
        <v/>
      </c>
      <c r="AU54" s="70" t="str">
        <f aca="false">IF(AND(ISNUMBER(SKOR!AN17),SKOR!AN17=0),SKOR!AN$5,"")</f>
        <v/>
      </c>
      <c r="AV54" s="70" t="n">
        <f aca="false">IF(AND(ISNUMBER(SKOR!AO17),SKOR!AO17=0),SKOR!AO$5,"")</f>
        <v>37</v>
      </c>
      <c r="AW54" s="70" t="str">
        <f aca="false">IF(AND(ISNUMBER(SKOR!AP17),SKOR!AP17=0),SKOR!AP$5,"")</f>
        <v/>
      </c>
      <c r="AX54" s="70" t="str">
        <f aca="false">IF(AND(ISNUMBER(SKOR!AQ17),SKOR!AQ17=0),SKOR!AQ$5,"")</f>
        <v/>
      </c>
      <c r="AY54" s="70" t="str">
        <f aca="false">IF(AND(ISNUMBER(SKOR!AR17),SKOR!AR17=0),SKOR!AR$5,"")</f>
        <v/>
      </c>
    </row>
    <row r="55" customFormat="false" ht="14.25" hidden="false" customHeight="false" outlineLevel="0" collapsed="false">
      <c r="A55" s="65" t="n">
        <f aca="false">NILAI!A18</f>
        <v>13</v>
      </c>
      <c r="B55" s="66" t="str">
        <f aca="false">NILAI!B18</f>
        <v>SISWA 13</v>
      </c>
      <c r="C55" s="65" t="str">
        <f aca="false">NILAI!C18</f>
        <v>IX G</v>
      </c>
      <c r="D55" s="56" t="n">
        <f aca="false">NILAI!F18</f>
        <v>80</v>
      </c>
      <c r="E55" s="67" t="n">
        <f aca="false">IF(D55="","",D55-NILAI_KKM)</f>
        <v>5</v>
      </c>
      <c r="F55" s="68" t="str">
        <f aca="false">IF(D55="","",IF(D55&lt;NILAI_KKM,"Remedial","Pengayaan"))</f>
        <v>Pengayaan</v>
      </c>
      <c r="G55" s="66" t="str">
        <f aca="false">IF(F55="","",IF(F55="Remedial",IF(D55&lt;BATAS_INTENSIF,"Remedial intensif: pembelajaran ulang + tes ulang","Remedial terbimbing: bahas butir salah + tes ulang"),IF(NILAI!I18="Atas","Pengayaan lanjut: tutor sebaya + soal HOTS","Pengayaan dasar: pendalaman + proyek")))</f>
        <v>Pengayaan lanjut: tutor sebaya + soal HOTS</v>
      </c>
      <c r="H55" s="66" t="str">
        <f aca="false">IF(F55="","",IF(F55="Pengayaan","-",IF(_xlfn.TEXTJOIN(", ",TRUE(),$L55:$AY55)="","-",_xlfn.TEXTJOIN(", ",TRUE(),$L55:$AY55))))</f>
        <v>-</v>
      </c>
      <c r="I55" s="69"/>
      <c r="J55" s="65" t="str">
        <f aca="false">IF(OR(F55&lt;&gt;"Remedial",I55=""),"",IF(I55&gt;=NILAI_KKM,"Tuntas","Belum tuntas"))</f>
        <v/>
      </c>
      <c r="L55" s="70" t="str">
        <f aca="false">IF(AND(ISNUMBER(SKOR!E18),SKOR!E18=0),SKOR!E$5,"")</f>
        <v/>
      </c>
      <c r="M55" s="70" t="str">
        <f aca="false">IF(AND(ISNUMBER(SKOR!F18),SKOR!F18=0),SKOR!F$5,"")</f>
        <v/>
      </c>
      <c r="N55" s="70" t="n">
        <f aca="false">IF(AND(ISNUMBER(SKOR!G18),SKOR!G18=0),SKOR!G$5,"")</f>
        <v>3</v>
      </c>
      <c r="O55" s="70" t="str">
        <f aca="false">IF(AND(ISNUMBER(SKOR!H18),SKOR!H18=0),SKOR!H$5,"")</f>
        <v/>
      </c>
      <c r="P55" s="70" t="str">
        <f aca="false">IF(AND(ISNUMBER(SKOR!I18),SKOR!I18=0),SKOR!I$5,"")</f>
        <v/>
      </c>
      <c r="Q55" s="70" t="str">
        <f aca="false">IF(AND(ISNUMBER(SKOR!J18),SKOR!J18=0),SKOR!J$5,"")</f>
        <v/>
      </c>
      <c r="R55" s="70" t="str">
        <f aca="false">IF(AND(ISNUMBER(SKOR!K18),SKOR!K18=0),SKOR!K$5,"")</f>
        <v/>
      </c>
      <c r="S55" s="70" t="str">
        <f aca="false">IF(AND(ISNUMBER(SKOR!L18),SKOR!L18=0),SKOR!L$5,"")</f>
        <v/>
      </c>
      <c r="T55" s="70" t="n">
        <f aca="false">IF(AND(ISNUMBER(SKOR!M18),SKOR!M18=0),SKOR!M$5,"")</f>
        <v>9</v>
      </c>
      <c r="U55" s="70" t="n">
        <f aca="false">IF(AND(ISNUMBER(SKOR!N18),SKOR!N18=0),SKOR!N$5,"")</f>
        <v>10</v>
      </c>
      <c r="V55" s="70" t="str">
        <f aca="false">IF(AND(ISNUMBER(SKOR!O18),SKOR!O18=0),SKOR!O$5,"")</f>
        <v/>
      </c>
      <c r="W55" s="70" t="str">
        <f aca="false">IF(AND(ISNUMBER(SKOR!P18),SKOR!P18=0),SKOR!P$5,"")</f>
        <v/>
      </c>
      <c r="X55" s="70" t="str">
        <f aca="false">IF(AND(ISNUMBER(SKOR!Q18),SKOR!Q18=0),SKOR!Q$5,"")</f>
        <v/>
      </c>
      <c r="Y55" s="70" t="n">
        <f aca="false">IF(AND(ISNUMBER(SKOR!R18),SKOR!R18=0),SKOR!R$5,"")</f>
        <v>14</v>
      </c>
      <c r="Z55" s="70" t="str">
        <f aca="false">IF(AND(ISNUMBER(SKOR!S18),SKOR!S18=0),SKOR!S$5,"")</f>
        <v/>
      </c>
      <c r="AA55" s="70" t="str">
        <f aca="false">IF(AND(ISNUMBER(SKOR!T18),SKOR!T18=0),SKOR!T$5,"")</f>
        <v/>
      </c>
      <c r="AB55" s="70" t="n">
        <f aca="false">IF(AND(ISNUMBER(SKOR!U18),SKOR!U18=0),SKOR!U$5,"")</f>
        <v>17</v>
      </c>
      <c r="AC55" s="70" t="str">
        <f aca="false">IF(AND(ISNUMBER(SKOR!V18),SKOR!V18=0),SKOR!V$5,"")</f>
        <v/>
      </c>
      <c r="AD55" s="70" t="str">
        <f aca="false">IF(AND(ISNUMBER(SKOR!W18),SKOR!W18=0),SKOR!W$5,"")</f>
        <v/>
      </c>
      <c r="AE55" s="70" t="str">
        <f aca="false">IF(AND(ISNUMBER(SKOR!X18),SKOR!X18=0),SKOR!X$5,"")</f>
        <v/>
      </c>
      <c r="AF55" s="70" t="str">
        <f aca="false">IF(AND(ISNUMBER(SKOR!Y18),SKOR!Y18=0),SKOR!Y$5,"")</f>
        <v/>
      </c>
      <c r="AG55" s="70" t="str">
        <f aca="false">IF(AND(ISNUMBER(SKOR!Z18),SKOR!Z18=0),SKOR!Z$5,"")</f>
        <v/>
      </c>
      <c r="AH55" s="70" t="n">
        <f aca="false">IF(AND(ISNUMBER(SKOR!AA18),SKOR!AA18=0),SKOR!AA$5,"")</f>
        <v>23</v>
      </c>
      <c r="AI55" s="70" t="str">
        <f aca="false">IF(AND(ISNUMBER(SKOR!AB18),SKOR!AB18=0),SKOR!AB$5,"")</f>
        <v/>
      </c>
      <c r="AJ55" s="70" t="str">
        <f aca="false">IF(AND(ISNUMBER(SKOR!AC18),SKOR!AC18=0),SKOR!AC$5,"")</f>
        <v/>
      </c>
      <c r="AK55" s="70" t="str">
        <f aca="false">IF(AND(ISNUMBER(SKOR!AD18),SKOR!AD18=0),SKOR!AD$5,"")</f>
        <v/>
      </c>
      <c r="AL55" s="70" t="str">
        <f aca="false">IF(AND(ISNUMBER(SKOR!AE18),SKOR!AE18=0),SKOR!AE$5,"")</f>
        <v/>
      </c>
      <c r="AM55" s="70" t="str">
        <f aca="false">IF(AND(ISNUMBER(SKOR!AF18),SKOR!AF18=0),SKOR!AF$5,"")</f>
        <v/>
      </c>
      <c r="AN55" s="70" t="str">
        <f aca="false">IF(AND(ISNUMBER(SKOR!AG18),SKOR!AG18=0),SKOR!AG$5,"")</f>
        <v/>
      </c>
      <c r="AO55" s="70" t="str">
        <f aca="false">IF(AND(ISNUMBER(SKOR!AH18),SKOR!AH18=0),SKOR!AH$5,"")</f>
        <v/>
      </c>
      <c r="AP55" s="70" t="n">
        <f aca="false">IF(AND(ISNUMBER(SKOR!AI18),SKOR!AI18=0),SKOR!AI$5,"")</f>
        <v>31</v>
      </c>
      <c r="AQ55" s="70" t="str">
        <f aca="false">IF(AND(ISNUMBER(SKOR!AJ18),SKOR!AJ18=0),SKOR!AJ$5,"")</f>
        <v/>
      </c>
      <c r="AR55" s="70" t="str">
        <f aca="false">IF(AND(ISNUMBER(SKOR!AK18),SKOR!AK18=0),SKOR!AK$5,"")</f>
        <v/>
      </c>
      <c r="AS55" s="70" t="str">
        <f aca="false">IF(AND(ISNUMBER(SKOR!AL18),SKOR!AL18=0),SKOR!AL$5,"")</f>
        <v/>
      </c>
      <c r="AT55" s="70" t="str">
        <f aca="false">IF(AND(ISNUMBER(SKOR!AM18),SKOR!AM18=0),SKOR!AM$5,"")</f>
        <v/>
      </c>
      <c r="AU55" s="70" t="str">
        <f aca="false">IF(AND(ISNUMBER(SKOR!AN18),SKOR!AN18=0),SKOR!AN$5,"")</f>
        <v/>
      </c>
      <c r="AV55" s="70" t="str">
        <f aca="false">IF(AND(ISNUMBER(SKOR!AO18),SKOR!AO18=0),SKOR!AO$5,"")</f>
        <v/>
      </c>
      <c r="AW55" s="70" t="str">
        <f aca="false">IF(AND(ISNUMBER(SKOR!AP18),SKOR!AP18=0),SKOR!AP$5,"")</f>
        <v/>
      </c>
      <c r="AX55" s="70" t="n">
        <f aca="false">IF(AND(ISNUMBER(SKOR!AQ18),SKOR!AQ18=0),SKOR!AQ$5,"")</f>
        <v>39</v>
      </c>
      <c r="AY55" s="70" t="str">
        <f aca="false">IF(AND(ISNUMBER(SKOR!AR18),SKOR!AR18=0),SKOR!AR$5,"")</f>
        <v/>
      </c>
    </row>
    <row r="56" customFormat="false" ht="49.5" hidden="false" customHeight="true" outlineLevel="0" collapsed="false">
      <c r="A56" s="65" t="n">
        <f aca="false">NILAI!A19</f>
        <v>14</v>
      </c>
      <c r="B56" s="66" t="str">
        <f aca="false">NILAI!B19</f>
        <v>SISWA 14</v>
      </c>
      <c r="C56" s="65" t="str">
        <f aca="false">NILAI!C19</f>
        <v>IX G</v>
      </c>
      <c r="D56" s="56" t="n">
        <f aca="false">NILAI!F19</f>
        <v>32.5</v>
      </c>
      <c r="E56" s="67" t="n">
        <f aca="false">IF(D56="","",D56-NILAI_KKM)</f>
        <v>-42.5</v>
      </c>
      <c r="F56" s="68" t="str">
        <f aca="false">IF(D56="","",IF(D56&lt;NILAI_KKM,"Remedial","Pengayaan"))</f>
        <v>Remedial</v>
      </c>
      <c r="G56" s="66" t="str">
        <f aca="false">IF(F56="","",IF(F56="Remedial",IF(D56&lt;BATAS_INTENSIF,"Remedial intensif: pembelajaran ulang + tes ulang","Remedial terbimbing: bahas butir salah + tes ulang"),IF(NILAI!I19="Atas","Pengayaan lanjut: tutor sebaya + soal HOTS","Pengayaan dasar: pendalaman + proyek")))</f>
        <v>Remedial intensif: pembelajaran ulang + tes ulang</v>
      </c>
      <c r="H56" s="66" t="str">
        <f aca="false">IF(F56="","",IF(F56="Pengayaan","-",IF(_xlfn.TEXTJOIN(", ",TRUE(),$L56:$AY56)="","-",_xlfn.TEXTJOIN(", ",TRUE(),$L56:$AY56))))</f>
        <v>1, 3, 4, 5, 6, 7, 8, 9, 11, 12, 14, 15, 17, 18, 19, 23, 24, 25, 28, 29, 30, 34, 35, 36, 37, 38, 40</v>
      </c>
      <c r="I56" s="69"/>
      <c r="J56" s="65" t="str">
        <f aca="false">IF(OR(F56&lt;&gt;"Remedial",I56=""),"",IF(I56&gt;=NILAI_KKM,"Tuntas","Belum tuntas"))</f>
        <v/>
      </c>
      <c r="L56" s="70" t="n">
        <f aca="false">IF(AND(ISNUMBER(SKOR!E19),SKOR!E19=0),SKOR!E$5,"")</f>
        <v>1</v>
      </c>
      <c r="M56" s="70" t="str">
        <f aca="false">IF(AND(ISNUMBER(SKOR!F19),SKOR!F19=0),SKOR!F$5,"")</f>
        <v/>
      </c>
      <c r="N56" s="70" t="n">
        <f aca="false">IF(AND(ISNUMBER(SKOR!G19),SKOR!G19=0),SKOR!G$5,"")</f>
        <v>3</v>
      </c>
      <c r="O56" s="70" t="n">
        <f aca="false">IF(AND(ISNUMBER(SKOR!H19),SKOR!H19=0),SKOR!H$5,"")</f>
        <v>4</v>
      </c>
      <c r="P56" s="70" t="n">
        <f aca="false">IF(AND(ISNUMBER(SKOR!I19),SKOR!I19=0),SKOR!I$5,"")</f>
        <v>5</v>
      </c>
      <c r="Q56" s="70" t="n">
        <f aca="false">IF(AND(ISNUMBER(SKOR!J19),SKOR!J19=0),SKOR!J$5,"")</f>
        <v>6</v>
      </c>
      <c r="R56" s="70" t="n">
        <f aca="false">IF(AND(ISNUMBER(SKOR!K19),SKOR!K19=0),SKOR!K$5,"")</f>
        <v>7</v>
      </c>
      <c r="S56" s="70" t="n">
        <f aca="false">IF(AND(ISNUMBER(SKOR!L19),SKOR!L19=0),SKOR!L$5,"")</f>
        <v>8</v>
      </c>
      <c r="T56" s="70" t="n">
        <f aca="false">IF(AND(ISNUMBER(SKOR!M19),SKOR!M19=0),SKOR!M$5,"")</f>
        <v>9</v>
      </c>
      <c r="U56" s="70" t="str">
        <f aca="false">IF(AND(ISNUMBER(SKOR!N19),SKOR!N19=0),SKOR!N$5,"")</f>
        <v/>
      </c>
      <c r="V56" s="70" t="n">
        <f aca="false">IF(AND(ISNUMBER(SKOR!O19),SKOR!O19=0),SKOR!O$5,"")</f>
        <v>11</v>
      </c>
      <c r="W56" s="70" t="n">
        <f aca="false">IF(AND(ISNUMBER(SKOR!P19),SKOR!P19=0),SKOR!P$5,"")</f>
        <v>12</v>
      </c>
      <c r="X56" s="70" t="str">
        <f aca="false">IF(AND(ISNUMBER(SKOR!Q19),SKOR!Q19=0),SKOR!Q$5,"")</f>
        <v/>
      </c>
      <c r="Y56" s="70" t="n">
        <f aca="false">IF(AND(ISNUMBER(SKOR!R19),SKOR!R19=0),SKOR!R$5,"")</f>
        <v>14</v>
      </c>
      <c r="Z56" s="70" t="n">
        <f aca="false">IF(AND(ISNUMBER(SKOR!S19),SKOR!S19=0),SKOR!S$5,"")</f>
        <v>15</v>
      </c>
      <c r="AA56" s="70" t="str">
        <f aca="false">IF(AND(ISNUMBER(SKOR!T19),SKOR!T19=0),SKOR!T$5,"")</f>
        <v/>
      </c>
      <c r="AB56" s="70" t="n">
        <f aca="false">IF(AND(ISNUMBER(SKOR!U19),SKOR!U19=0),SKOR!U$5,"")</f>
        <v>17</v>
      </c>
      <c r="AC56" s="70" t="n">
        <f aca="false">IF(AND(ISNUMBER(SKOR!V19),SKOR!V19=0),SKOR!V$5,"")</f>
        <v>18</v>
      </c>
      <c r="AD56" s="70" t="n">
        <f aca="false">IF(AND(ISNUMBER(SKOR!W19),SKOR!W19=0),SKOR!W$5,"")</f>
        <v>19</v>
      </c>
      <c r="AE56" s="70" t="str">
        <f aca="false">IF(AND(ISNUMBER(SKOR!X19),SKOR!X19=0),SKOR!X$5,"")</f>
        <v/>
      </c>
      <c r="AF56" s="70" t="str">
        <f aca="false">IF(AND(ISNUMBER(SKOR!Y19),SKOR!Y19=0),SKOR!Y$5,"")</f>
        <v/>
      </c>
      <c r="AG56" s="70" t="str">
        <f aca="false">IF(AND(ISNUMBER(SKOR!Z19),SKOR!Z19=0),SKOR!Z$5,"")</f>
        <v/>
      </c>
      <c r="AH56" s="70" t="n">
        <f aca="false">IF(AND(ISNUMBER(SKOR!AA19),SKOR!AA19=0),SKOR!AA$5,"")</f>
        <v>23</v>
      </c>
      <c r="AI56" s="70" t="n">
        <f aca="false">IF(AND(ISNUMBER(SKOR!AB19),SKOR!AB19=0),SKOR!AB$5,"")</f>
        <v>24</v>
      </c>
      <c r="AJ56" s="70" t="n">
        <f aca="false">IF(AND(ISNUMBER(SKOR!AC19),SKOR!AC19=0),SKOR!AC$5,"")</f>
        <v>25</v>
      </c>
      <c r="AK56" s="70" t="str">
        <f aca="false">IF(AND(ISNUMBER(SKOR!AD19),SKOR!AD19=0),SKOR!AD$5,"")</f>
        <v/>
      </c>
      <c r="AL56" s="70" t="str">
        <f aca="false">IF(AND(ISNUMBER(SKOR!AE19),SKOR!AE19=0),SKOR!AE$5,"")</f>
        <v/>
      </c>
      <c r="AM56" s="70" t="n">
        <f aca="false">IF(AND(ISNUMBER(SKOR!AF19),SKOR!AF19=0),SKOR!AF$5,"")</f>
        <v>28</v>
      </c>
      <c r="AN56" s="70" t="n">
        <f aca="false">IF(AND(ISNUMBER(SKOR!AG19),SKOR!AG19=0),SKOR!AG$5,"")</f>
        <v>29</v>
      </c>
      <c r="AO56" s="70" t="n">
        <f aca="false">IF(AND(ISNUMBER(SKOR!AH19),SKOR!AH19=0),SKOR!AH$5,"")</f>
        <v>30</v>
      </c>
      <c r="AP56" s="70" t="str">
        <f aca="false">IF(AND(ISNUMBER(SKOR!AI19),SKOR!AI19=0),SKOR!AI$5,"")</f>
        <v/>
      </c>
      <c r="AQ56" s="70" t="str">
        <f aca="false">IF(AND(ISNUMBER(SKOR!AJ19),SKOR!AJ19=0),SKOR!AJ$5,"")</f>
        <v/>
      </c>
      <c r="AR56" s="70" t="str">
        <f aca="false">IF(AND(ISNUMBER(SKOR!AK19),SKOR!AK19=0),SKOR!AK$5,"")</f>
        <v/>
      </c>
      <c r="AS56" s="70" t="n">
        <f aca="false">IF(AND(ISNUMBER(SKOR!AL19),SKOR!AL19=0),SKOR!AL$5,"")</f>
        <v>34</v>
      </c>
      <c r="AT56" s="70" t="n">
        <f aca="false">IF(AND(ISNUMBER(SKOR!AM19),SKOR!AM19=0),SKOR!AM$5,"")</f>
        <v>35</v>
      </c>
      <c r="AU56" s="70" t="n">
        <f aca="false">IF(AND(ISNUMBER(SKOR!AN19),SKOR!AN19=0),SKOR!AN$5,"")</f>
        <v>36</v>
      </c>
      <c r="AV56" s="70" t="n">
        <f aca="false">IF(AND(ISNUMBER(SKOR!AO19),SKOR!AO19=0),SKOR!AO$5,"")</f>
        <v>37</v>
      </c>
      <c r="AW56" s="70" t="n">
        <f aca="false">IF(AND(ISNUMBER(SKOR!AP19),SKOR!AP19=0),SKOR!AP$5,"")</f>
        <v>38</v>
      </c>
      <c r="AX56" s="70" t="str">
        <f aca="false">IF(AND(ISNUMBER(SKOR!AQ19),SKOR!AQ19=0),SKOR!AQ$5,"")</f>
        <v/>
      </c>
      <c r="AY56" s="70" t="n">
        <f aca="false">IF(AND(ISNUMBER(SKOR!AR19),SKOR!AR19=0),SKOR!AR$5,"")</f>
        <v>40</v>
      </c>
    </row>
    <row r="57" customFormat="false" ht="23.85" hidden="false" customHeight="false" outlineLevel="0" collapsed="false">
      <c r="A57" s="65" t="n">
        <f aca="false">NILAI!A20</f>
        <v>15</v>
      </c>
      <c r="B57" s="66" t="str">
        <f aca="false">NILAI!B20</f>
        <v>SISWA 15</v>
      </c>
      <c r="C57" s="65" t="str">
        <f aca="false">NILAI!C20</f>
        <v>IX G</v>
      </c>
      <c r="D57" s="56" t="n">
        <f aca="false">NILAI!F20</f>
        <v>57.5</v>
      </c>
      <c r="E57" s="67" t="n">
        <f aca="false">IF(D57="","",D57-NILAI_KKM)</f>
        <v>-17.5</v>
      </c>
      <c r="F57" s="68" t="str">
        <f aca="false">IF(D57="","",IF(D57&lt;NILAI_KKM,"Remedial","Pengayaan"))</f>
        <v>Remedial</v>
      </c>
      <c r="G57" s="66" t="str">
        <f aca="false">IF(F57="","",IF(F57="Remedial",IF(D57&lt;BATAS_INTENSIF,"Remedial intensif: pembelajaran ulang + tes ulang","Remedial terbimbing: bahas butir salah + tes ulang"),IF(NILAI!I20="Atas","Pengayaan lanjut: tutor sebaya + soal HOTS","Pengayaan dasar: pendalaman + proyek")))</f>
        <v>Remedial terbimbing: bahas butir salah + tes ulang</v>
      </c>
      <c r="H57" s="66" t="str">
        <f aca="false">IF(F57="","",IF(F57="Pengayaan","-",IF(_xlfn.TEXTJOIN(", ",TRUE(),$L57:$AY57)="","-",_xlfn.TEXTJOIN(", ",TRUE(),$L57:$AY57))))</f>
        <v>6, 10, 12, 13, 14, 16, 18, 19, 20, 21, 25, 26, 28, 30, 33, 38, 39</v>
      </c>
      <c r="I57" s="69"/>
      <c r="J57" s="65" t="str">
        <f aca="false">IF(OR(F57&lt;&gt;"Remedial",I57=""),"",IF(I57&gt;=NILAI_KKM,"Tuntas","Belum tuntas"))</f>
        <v/>
      </c>
      <c r="L57" s="70" t="str">
        <f aca="false">IF(AND(ISNUMBER(SKOR!E20),SKOR!E20=0),SKOR!E$5,"")</f>
        <v/>
      </c>
      <c r="M57" s="70" t="str">
        <f aca="false">IF(AND(ISNUMBER(SKOR!F20),SKOR!F20=0),SKOR!F$5,"")</f>
        <v/>
      </c>
      <c r="N57" s="70" t="str">
        <f aca="false">IF(AND(ISNUMBER(SKOR!G20),SKOR!G20=0),SKOR!G$5,"")</f>
        <v/>
      </c>
      <c r="O57" s="70" t="str">
        <f aca="false">IF(AND(ISNUMBER(SKOR!H20),SKOR!H20=0),SKOR!H$5,"")</f>
        <v/>
      </c>
      <c r="P57" s="70" t="str">
        <f aca="false">IF(AND(ISNUMBER(SKOR!I20),SKOR!I20=0),SKOR!I$5,"")</f>
        <v/>
      </c>
      <c r="Q57" s="70" t="n">
        <f aca="false">IF(AND(ISNUMBER(SKOR!J20),SKOR!J20=0),SKOR!J$5,"")</f>
        <v>6</v>
      </c>
      <c r="R57" s="70" t="str">
        <f aca="false">IF(AND(ISNUMBER(SKOR!K20),SKOR!K20=0),SKOR!K$5,"")</f>
        <v/>
      </c>
      <c r="S57" s="70" t="str">
        <f aca="false">IF(AND(ISNUMBER(SKOR!L20),SKOR!L20=0),SKOR!L$5,"")</f>
        <v/>
      </c>
      <c r="T57" s="70" t="str">
        <f aca="false">IF(AND(ISNUMBER(SKOR!M20),SKOR!M20=0),SKOR!M$5,"")</f>
        <v/>
      </c>
      <c r="U57" s="70" t="n">
        <f aca="false">IF(AND(ISNUMBER(SKOR!N20),SKOR!N20=0),SKOR!N$5,"")</f>
        <v>10</v>
      </c>
      <c r="V57" s="70" t="str">
        <f aca="false">IF(AND(ISNUMBER(SKOR!O20),SKOR!O20=0),SKOR!O$5,"")</f>
        <v/>
      </c>
      <c r="W57" s="70" t="n">
        <f aca="false">IF(AND(ISNUMBER(SKOR!P20),SKOR!P20=0),SKOR!P$5,"")</f>
        <v>12</v>
      </c>
      <c r="X57" s="70" t="n">
        <f aca="false">IF(AND(ISNUMBER(SKOR!Q20),SKOR!Q20=0),SKOR!Q$5,"")</f>
        <v>13</v>
      </c>
      <c r="Y57" s="70" t="n">
        <f aca="false">IF(AND(ISNUMBER(SKOR!R20),SKOR!R20=0),SKOR!R$5,"")</f>
        <v>14</v>
      </c>
      <c r="Z57" s="70" t="str">
        <f aca="false">IF(AND(ISNUMBER(SKOR!S20),SKOR!S20=0),SKOR!S$5,"")</f>
        <v/>
      </c>
      <c r="AA57" s="70" t="n">
        <f aca="false">IF(AND(ISNUMBER(SKOR!T20),SKOR!T20=0),SKOR!T$5,"")</f>
        <v>16</v>
      </c>
      <c r="AB57" s="70" t="str">
        <f aca="false">IF(AND(ISNUMBER(SKOR!U20),SKOR!U20=0),SKOR!U$5,"")</f>
        <v/>
      </c>
      <c r="AC57" s="70" t="n">
        <f aca="false">IF(AND(ISNUMBER(SKOR!V20),SKOR!V20=0),SKOR!V$5,"")</f>
        <v>18</v>
      </c>
      <c r="AD57" s="70" t="n">
        <f aca="false">IF(AND(ISNUMBER(SKOR!W20),SKOR!W20=0),SKOR!W$5,"")</f>
        <v>19</v>
      </c>
      <c r="AE57" s="70" t="n">
        <f aca="false">IF(AND(ISNUMBER(SKOR!X20),SKOR!X20=0),SKOR!X$5,"")</f>
        <v>20</v>
      </c>
      <c r="AF57" s="70" t="n">
        <f aca="false">IF(AND(ISNUMBER(SKOR!Y20),SKOR!Y20=0),SKOR!Y$5,"")</f>
        <v>21</v>
      </c>
      <c r="AG57" s="70" t="str">
        <f aca="false">IF(AND(ISNUMBER(SKOR!Z20),SKOR!Z20=0),SKOR!Z$5,"")</f>
        <v/>
      </c>
      <c r="AH57" s="70" t="str">
        <f aca="false">IF(AND(ISNUMBER(SKOR!AA20),SKOR!AA20=0),SKOR!AA$5,"")</f>
        <v/>
      </c>
      <c r="AI57" s="70" t="str">
        <f aca="false">IF(AND(ISNUMBER(SKOR!AB20),SKOR!AB20=0),SKOR!AB$5,"")</f>
        <v/>
      </c>
      <c r="AJ57" s="70" t="n">
        <f aca="false">IF(AND(ISNUMBER(SKOR!AC20),SKOR!AC20=0),SKOR!AC$5,"")</f>
        <v>25</v>
      </c>
      <c r="AK57" s="70" t="n">
        <f aca="false">IF(AND(ISNUMBER(SKOR!AD20),SKOR!AD20=0),SKOR!AD$5,"")</f>
        <v>26</v>
      </c>
      <c r="AL57" s="70" t="str">
        <f aca="false">IF(AND(ISNUMBER(SKOR!AE20),SKOR!AE20=0),SKOR!AE$5,"")</f>
        <v/>
      </c>
      <c r="AM57" s="70" t="n">
        <f aca="false">IF(AND(ISNUMBER(SKOR!AF20),SKOR!AF20=0),SKOR!AF$5,"")</f>
        <v>28</v>
      </c>
      <c r="AN57" s="70" t="str">
        <f aca="false">IF(AND(ISNUMBER(SKOR!AG20),SKOR!AG20=0),SKOR!AG$5,"")</f>
        <v/>
      </c>
      <c r="AO57" s="70" t="n">
        <f aca="false">IF(AND(ISNUMBER(SKOR!AH20),SKOR!AH20=0),SKOR!AH$5,"")</f>
        <v>30</v>
      </c>
      <c r="AP57" s="70" t="str">
        <f aca="false">IF(AND(ISNUMBER(SKOR!AI20),SKOR!AI20=0),SKOR!AI$5,"")</f>
        <v/>
      </c>
      <c r="AQ57" s="70" t="str">
        <f aca="false">IF(AND(ISNUMBER(SKOR!AJ20),SKOR!AJ20=0),SKOR!AJ$5,"")</f>
        <v/>
      </c>
      <c r="AR57" s="70" t="n">
        <f aca="false">IF(AND(ISNUMBER(SKOR!AK20),SKOR!AK20=0),SKOR!AK$5,"")</f>
        <v>33</v>
      </c>
      <c r="AS57" s="70" t="str">
        <f aca="false">IF(AND(ISNUMBER(SKOR!AL20),SKOR!AL20=0),SKOR!AL$5,"")</f>
        <v/>
      </c>
      <c r="AT57" s="70" t="str">
        <f aca="false">IF(AND(ISNUMBER(SKOR!AM20),SKOR!AM20=0),SKOR!AM$5,"")</f>
        <v/>
      </c>
      <c r="AU57" s="70" t="str">
        <f aca="false">IF(AND(ISNUMBER(SKOR!AN20),SKOR!AN20=0),SKOR!AN$5,"")</f>
        <v/>
      </c>
      <c r="AV57" s="70" t="str">
        <f aca="false">IF(AND(ISNUMBER(SKOR!AO20),SKOR!AO20=0),SKOR!AO$5,"")</f>
        <v/>
      </c>
      <c r="AW57" s="70" t="n">
        <f aca="false">IF(AND(ISNUMBER(SKOR!AP20),SKOR!AP20=0),SKOR!AP$5,"")</f>
        <v>38</v>
      </c>
      <c r="AX57" s="70" t="n">
        <f aca="false">IF(AND(ISNUMBER(SKOR!AQ20),SKOR!AQ20=0),SKOR!AQ$5,"")</f>
        <v>39</v>
      </c>
      <c r="AY57" s="70" t="str">
        <f aca="false">IF(AND(ISNUMBER(SKOR!AR20),SKOR!AR20=0),SKOR!AR$5,"")</f>
        <v/>
      </c>
    </row>
    <row r="58" customFormat="false" ht="14.25" hidden="false" customHeight="false" outlineLevel="0" collapsed="false">
      <c r="A58" s="65" t="n">
        <f aca="false">NILAI!A21</f>
        <v>16</v>
      </c>
      <c r="B58" s="66" t="str">
        <f aca="false">NILAI!B21</f>
        <v>SISWA 16</v>
      </c>
      <c r="C58" s="65" t="str">
        <f aca="false">NILAI!C21</f>
        <v>IX G</v>
      </c>
      <c r="D58" s="56" t="n">
        <f aca="false">NILAI!F21</f>
        <v>72.5</v>
      </c>
      <c r="E58" s="67" t="n">
        <f aca="false">IF(D58="","",D58-NILAI_KKM)</f>
        <v>-2.5</v>
      </c>
      <c r="F58" s="68" t="str">
        <f aca="false">IF(D58="","",IF(D58&lt;NILAI_KKM,"Remedial","Pengayaan"))</f>
        <v>Remedial</v>
      </c>
      <c r="G58" s="66" t="str">
        <f aca="false">IF(F58="","",IF(F58="Remedial",IF(D58&lt;BATAS_INTENSIF,"Remedial intensif: pembelajaran ulang + tes ulang","Remedial terbimbing: bahas butir salah + tes ulang"),IF(NILAI!I21="Atas","Pengayaan lanjut: tutor sebaya + soal HOTS","Pengayaan dasar: pendalaman + proyek")))</f>
        <v>Remedial terbimbing: bahas butir salah + tes ulang</v>
      </c>
      <c r="H58" s="66" t="str">
        <f aca="false">IF(F58="","",IF(F58="Pengayaan","-",IF(_xlfn.TEXTJOIN(", ",TRUE(),$L58:$AY58)="","-",_xlfn.TEXTJOIN(", ",TRUE(),$L58:$AY58))))</f>
        <v>2, 3, 5, 9, 13, 17, 27, 29, 37, 38, 39</v>
      </c>
      <c r="I58" s="69"/>
      <c r="J58" s="65" t="str">
        <f aca="false">IF(OR(F58&lt;&gt;"Remedial",I58=""),"",IF(I58&gt;=NILAI_KKM,"Tuntas","Belum tuntas"))</f>
        <v/>
      </c>
      <c r="L58" s="70" t="str">
        <f aca="false">IF(AND(ISNUMBER(SKOR!E21),SKOR!E21=0),SKOR!E$5,"")</f>
        <v/>
      </c>
      <c r="M58" s="70" t="n">
        <f aca="false">IF(AND(ISNUMBER(SKOR!F21),SKOR!F21=0),SKOR!F$5,"")</f>
        <v>2</v>
      </c>
      <c r="N58" s="70" t="n">
        <f aca="false">IF(AND(ISNUMBER(SKOR!G21),SKOR!G21=0),SKOR!G$5,"")</f>
        <v>3</v>
      </c>
      <c r="O58" s="70" t="str">
        <f aca="false">IF(AND(ISNUMBER(SKOR!H21),SKOR!H21=0),SKOR!H$5,"")</f>
        <v/>
      </c>
      <c r="P58" s="70" t="n">
        <f aca="false">IF(AND(ISNUMBER(SKOR!I21),SKOR!I21=0),SKOR!I$5,"")</f>
        <v>5</v>
      </c>
      <c r="Q58" s="70" t="str">
        <f aca="false">IF(AND(ISNUMBER(SKOR!J21),SKOR!J21=0),SKOR!J$5,"")</f>
        <v/>
      </c>
      <c r="R58" s="70" t="str">
        <f aca="false">IF(AND(ISNUMBER(SKOR!K21),SKOR!K21=0),SKOR!K$5,"")</f>
        <v/>
      </c>
      <c r="S58" s="70" t="str">
        <f aca="false">IF(AND(ISNUMBER(SKOR!L21),SKOR!L21=0),SKOR!L$5,"")</f>
        <v/>
      </c>
      <c r="T58" s="70" t="n">
        <f aca="false">IF(AND(ISNUMBER(SKOR!M21),SKOR!M21=0),SKOR!M$5,"")</f>
        <v>9</v>
      </c>
      <c r="U58" s="70" t="str">
        <f aca="false">IF(AND(ISNUMBER(SKOR!N21),SKOR!N21=0),SKOR!N$5,"")</f>
        <v/>
      </c>
      <c r="V58" s="70" t="str">
        <f aca="false">IF(AND(ISNUMBER(SKOR!O21),SKOR!O21=0),SKOR!O$5,"")</f>
        <v/>
      </c>
      <c r="W58" s="70" t="str">
        <f aca="false">IF(AND(ISNUMBER(SKOR!P21),SKOR!P21=0),SKOR!P$5,"")</f>
        <v/>
      </c>
      <c r="X58" s="70" t="n">
        <f aca="false">IF(AND(ISNUMBER(SKOR!Q21),SKOR!Q21=0),SKOR!Q$5,"")</f>
        <v>13</v>
      </c>
      <c r="Y58" s="70" t="str">
        <f aca="false">IF(AND(ISNUMBER(SKOR!R21),SKOR!R21=0),SKOR!R$5,"")</f>
        <v/>
      </c>
      <c r="Z58" s="70" t="str">
        <f aca="false">IF(AND(ISNUMBER(SKOR!S21),SKOR!S21=0),SKOR!S$5,"")</f>
        <v/>
      </c>
      <c r="AA58" s="70" t="str">
        <f aca="false">IF(AND(ISNUMBER(SKOR!T21),SKOR!T21=0),SKOR!T$5,"")</f>
        <v/>
      </c>
      <c r="AB58" s="70" t="n">
        <f aca="false">IF(AND(ISNUMBER(SKOR!U21),SKOR!U21=0),SKOR!U$5,"")</f>
        <v>17</v>
      </c>
      <c r="AC58" s="70" t="str">
        <f aca="false">IF(AND(ISNUMBER(SKOR!V21),SKOR!V21=0),SKOR!V$5,"")</f>
        <v/>
      </c>
      <c r="AD58" s="70" t="str">
        <f aca="false">IF(AND(ISNUMBER(SKOR!W21),SKOR!W21=0),SKOR!W$5,"")</f>
        <v/>
      </c>
      <c r="AE58" s="70" t="str">
        <f aca="false">IF(AND(ISNUMBER(SKOR!X21),SKOR!X21=0),SKOR!X$5,"")</f>
        <v/>
      </c>
      <c r="AF58" s="70" t="str">
        <f aca="false">IF(AND(ISNUMBER(SKOR!Y21),SKOR!Y21=0),SKOR!Y$5,"")</f>
        <v/>
      </c>
      <c r="AG58" s="70" t="str">
        <f aca="false">IF(AND(ISNUMBER(SKOR!Z21),SKOR!Z21=0),SKOR!Z$5,"")</f>
        <v/>
      </c>
      <c r="AH58" s="70" t="str">
        <f aca="false">IF(AND(ISNUMBER(SKOR!AA21),SKOR!AA21=0),SKOR!AA$5,"")</f>
        <v/>
      </c>
      <c r="AI58" s="70" t="str">
        <f aca="false">IF(AND(ISNUMBER(SKOR!AB21),SKOR!AB21=0),SKOR!AB$5,"")</f>
        <v/>
      </c>
      <c r="AJ58" s="70" t="str">
        <f aca="false">IF(AND(ISNUMBER(SKOR!AC21),SKOR!AC21=0),SKOR!AC$5,"")</f>
        <v/>
      </c>
      <c r="AK58" s="70" t="str">
        <f aca="false">IF(AND(ISNUMBER(SKOR!AD21),SKOR!AD21=0),SKOR!AD$5,"")</f>
        <v/>
      </c>
      <c r="AL58" s="70" t="n">
        <f aca="false">IF(AND(ISNUMBER(SKOR!AE21),SKOR!AE21=0),SKOR!AE$5,"")</f>
        <v>27</v>
      </c>
      <c r="AM58" s="70" t="str">
        <f aca="false">IF(AND(ISNUMBER(SKOR!AF21),SKOR!AF21=0),SKOR!AF$5,"")</f>
        <v/>
      </c>
      <c r="AN58" s="70" t="n">
        <f aca="false">IF(AND(ISNUMBER(SKOR!AG21),SKOR!AG21=0),SKOR!AG$5,"")</f>
        <v>29</v>
      </c>
      <c r="AO58" s="70" t="str">
        <f aca="false">IF(AND(ISNUMBER(SKOR!AH21),SKOR!AH21=0),SKOR!AH$5,"")</f>
        <v/>
      </c>
      <c r="AP58" s="70" t="str">
        <f aca="false">IF(AND(ISNUMBER(SKOR!AI21),SKOR!AI21=0),SKOR!AI$5,"")</f>
        <v/>
      </c>
      <c r="AQ58" s="70" t="str">
        <f aca="false">IF(AND(ISNUMBER(SKOR!AJ21),SKOR!AJ21=0),SKOR!AJ$5,"")</f>
        <v/>
      </c>
      <c r="AR58" s="70" t="str">
        <f aca="false">IF(AND(ISNUMBER(SKOR!AK21),SKOR!AK21=0),SKOR!AK$5,"")</f>
        <v/>
      </c>
      <c r="AS58" s="70" t="str">
        <f aca="false">IF(AND(ISNUMBER(SKOR!AL21),SKOR!AL21=0),SKOR!AL$5,"")</f>
        <v/>
      </c>
      <c r="AT58" s="70" t="str">
        <f aca="false">IF(AND(ISNUMBER(SKOR!AM21),SKOR!AM21=0),SKOR!AM$5,"")</f>
        <v/>
      </c>
      <c r="AU58" s="70" t="str">
        <f aca="false">IF(AND(ISNUMBER(SKOR!AN21),SKOR!AN21=0),SKOR!AN$5,"")</f>
        <v/>
      </c>
      <c r="AV58" s="70" t="n">
        <f aca="false">IF(AND(ISNUMBER(SKOR!AO21),SKOR!AO21=0),SKOR!AO$5,"")</f>
        <v>37</v>
      </c>
      <c r="AW58" s="70" t="n">
        <f aca="false">IF(AND(ISNUMBER(SKOR!AP21),SKOR!AP21=0),SKOR!AP$5,"")</f>
        <v>38</v>
      </c>
      <c r="AX58" s="70" t="n">
        <f aca="false">IF(AND(ISNUMBER(SKOR!AQ21),SKOR!AQ21=0),SKOR!AQ$5,"")</f>
        <v>39</v>
      </c>
      <c r="AY58" s="70" t="str">
        <f aca="false">IF(AND(ISNUMBER(SKOR!AR21),SKOR!AR21=0),SKOR!AR$5,"")</f>
        <v/>
      </c>
    </row>
    <row r="59" customFormat="false" ht="24.75" hidden="false" customHeight="true" outlineLevel="0" collapsed="false">
      <c r="A59" s="65" t="n">
        <f aca="false">NILAI!A22</f>
        <v>17</v>
      </c>
      <c r="B59" s="66" t="str">
        <f aca="false">NILAI!B22</f>
        <v>SISWA 17</v>
      </c>
      <c r="C59" s="65" t="str">
        <f aca="false">NILAI!C22</f>
        <v>IX G</v>
      </c>
      <c r="D59" s="56" t="n">
        <f aca="false">NILAI!F22</f>
        <v>77.5</v>
      </c>
      <c r="E59" s="67" t="n">
        <f aca="false">IF(D59="","",D59-NILAI_KKM)</f>
        <v>2.5</v>
      </c>
      <c r="F59" s="68" t="str">
        <f aca="false">IF(D59="","",IF(D59&lt;NILAI_KKM,"Remedial","Pengayaan"))</f>
        <v>Pengayaan</v>
      </c>
      <c r="G59" s="66" t="str">
        <f aca="false">IF(F59="","",IF(F59="Remedial",IF(D59&lt;BATAS_INTENSIF,"Remedial intensif: pembelajaran ulang + tes ulang","Remedial terbimbing: bahas butir salah + tes ulang"),IF(NILAI!I22="Atas","Pengayaan lanjut: tutor sebaya + soal HOTS","Pengayaan dasar: pendalaman + proyek")))</f>
        <v>Pengayaan lanjut: tutor sebaya + soal HOTS</v>
      </c>
      <c r="H59" s="66" t="str">
        <f aca="false">IF(F59="","",IF(F59="Pengayaan","-",IF(_xlfn.TEXTJOIN(", ",TRUE(),$L59:$AY59)="","-",_xlfn.TEXTJOIN(", ",TRUE(),$L59:$AY59))))</f>
        <v>-</v>
      </c>
      <c r="I59" s="69"/>
      <c r="J59" s="65" t="str">
        <f aca="false">IF(OR(F59&lt;&gt;"Remedial",I59=""),"",IF(I59&gt;=NILAI_KKM,"Tuntas","Belum tuntas"))</f>
        <v/>
      </c>
      <c r="L59" s="70" t="n">
        <f aca="false">IF(AND(ISNUMBER(SKOR!E22),SKOR!E22=0),SKOR!E$5,"")</f>
        <v>1</v>
      </c>
      <c r="M59" s="70" t="str">
        <f aca="false">IF(AND(ISNUMBER(SKOR!F22),SKOR!F22=0),SKOR!F$5,"")</f>
        <v/>
      </c>
      <c r="N59" s="70" t="str">
        <f aca="false">IF(AND(ISNUMBER(SKOR!G22),SKOR!G22=0),SKOR!G$5,"")</f>
        <v/>
      </c>
      <c r="O59" s="70" t="str">
        <f aca="false">IF(AND(ISNUMBER(SKOR!H22),SKOR!H22=0),SKOR!H$5,"")</f>
        <v/>
      </c>
      <c r="P59" s="70" t="str">
        <f aca="false">IF(AND(ISNUMBER(SKOR!I22),SKOR!I22=0),SKOR!I$5,"")</f>
        <v/>
      </c>
      <c r="Q59" s="70" t="str">
        <f aca="false">IF(AND(ISNUMBER(SKOR!J22),SKOR!J22=0),SKOR!J$5,"")</f>
        <v/>
      </c>
      <c r="R59" s="70" t="str">
        <f aca="false">IF(AND(ISNUMBER(SKOR!K22),SKOR!K22=0),SKOR!K$5,"")</f>
        <v/>
      </c>
      <c r="S59" s="70" t="str">
        <f aca="false">IF(AND(ISNUMBER(SKOR!L22),SKOR!L22=0),SKOR!L$5,"")</f>
        <v/>
      </c>
      <c r="T59" s="70" t="str">
        <f aca="false">IF(AND(ISNUMBER(SKOR!M22),SKOR!M22=0),SKOR!M$5,"")</f>
        <v/>
      </c>
      <c r="U59" s="70" t="str">
        <f aca="false">IF(AND(ISNUMBER(SKOR!N22),SKOR!N22=0),SKOR!N$5,"")</f>
        <v/>
      </c>
      <c r="V59" s="70" t="str">
        <f aca="false">IF(AND(ISNUMBER(SKOR!O22),SKOR!O22=0),SKOR!O$5,"")</f>
        <v/>
      </c>
      <c r="W59" s="70" t="str">
        <f aca="false">IF(AND(ISNUMBER(SKOR!P22),SKOR!P22=0),SKOR!P$5,"")</f>
        <v/>
      </c>
      <c r="X59" s="70" t="n">
        <f aca="false">IF(AND(ISNUMBER(SKOR!Q22),SKOR!Q22=0),SKOR!Q$5,"")</f>
        <v>13</v>
      </c>
      <c r="Y59" s="70" t="str">
        <f aca="false">IF(AND(ISNUMBER(SKOR!R22),SKOR!R22=0),SKOR!R$5,"")</f>
        <v/>
      </c>
      <c r="Z59" s="70" t="str">
        <f aca="false">IF(AND(ISNUMBER(SKOR!S22),SKOR!S22=0),SKOR!S$5,"")</f>
        <v/>
      </c>
      <c r="AA59" s="70" t="str">
        <f aca="false">IF(AND(ISNUMBER(SKOR!T22),SKOR!T22=0),SKOR!T$5,"")</f>
        <v/>
      </c>
      <c r="AB59" s="70" t="n">
        <f aca="false">IF(AND(ISNUMBER(SKOR!U22),SKOR!U22=0),SKOR!U$5,"")</f>
        <v>17</v>
      </c>
      <c r="AC59" s="70" t="str">
        <f aca="false">IF(AND(ISNUMBER(SKOR!V22),SKOR!V22=0),SKOR!V$5,"")</f>
        <v/>
      </c>
      <c r="AD59" s="70" t="str">
        <f aca="false">IF(AND(ISNUMBER(SKOR!W22),SKOR!W22=0),SKOR!W$5,"")</f>
        <v/>
      </c>
      <c r="AE59" s="70" t="str">
        <f aca="false">IF(AND(ISNUMBER(SKOR!X22),SKOR!X22=0),SKOR!X$5,"")</f>
        <v/>
      </c>
      <c r="AF59" s="70" t="n">
        <f aca="false">IF(AND(ISNUMBER(SKOR!Y22),SKOR!Y22=0),SKOR!Y$5,"")</f>
        <v>21</v>
      </c>
      <c r="AG59" s="70" t="n">
        <f aca="false">IF(AND(ISNUMBER(SKOR!Z22),SKOR!Z22=0),SKOR!Z$5,"")</f>
        <v>22</v>
      </c>
      <c r="AH59" s="70" t="str">
        <f aca="false">IF(AND(ISNUMBER(SKOR!AA22),SKOR!AA22=0),SKOR!AA$5,"")</f>
        <v/>
      </c>
      <c r="AI59" s="70" t="str">
        <f aca="false">IF(AND(ISNUMBER(SKOR!AB22),SKOR!AB22=0),SKOR!AB$5,"")</f>
        <v/>
      </c>
      <c r="AJ59" s="70" t="n">
        <f aca="false">IF(AND(ISNUMBER(SKOR!AC22),SKOR!AC22=0),SKOR!AC$5,"")</f>
        <v>25</v>
      </c>
      <c r="AK59" s="70" t="n">
        <f aca="false">IF(AND(ISNUMBER(SKOR!AD22),SKOR!AD22=0),SKOR!AD$5,"")</f>
        <v>26</v>
      </c>
      <c r="AL59" s="70" t="str">
        <f aca="false">IF(AND(ISNUMBER(SKOR!AE22),SKOR!AE22=0),SKOR!AE$5,"")</f>
        <v/>
      </c>
      <c r="AM59" s="70" t="str">
        <f aca="false">IF(AND(ISNUMBER(SKOR!AF22),SKOR!AF22=0),SKOR!AF$5,"")</f>
        <v/>
      </c>
      <c r="AN59" s="70" t="str">
        <f aca="false">IF(AND(ISNUMBER(SKOR!AG22),SKOR!AG22=0),SKOR!AG$5,"")</f>
        <v/>
      </c>
      <c r="AO59" s="70" t="str">
        <f aca="false">IF(AND(ISNUMBER(SKOR!AH22),SKOR!AH22=0),SKOR!AH$5,"")</f>
        <v/>
      </c>
      <c r="AP59" s="70" t="str">
        <f aca="false">IF(AND(ISNUMBER(SKOR!AI22),SKOR!AI22=0),SKOR!AI$5,"")</f>
        <v/>
      </c>
      <c r="AQ59" s="70" t="str">
        <f aca="false">IF(AND(ISNUMBER(SKOR!AJ22),SKOR!AJ22=0),SKOR!AJ$5,"")</f>
        <v/>
      </c>
      <c r="AR59" s="70" t="n">
        <f aca="false">IF(AND(ISNUMBER(SKOR!AK22),SKOR!AK22=0),SKOR!AK$5,"")</f>
        <v>33</v>
      </c>
      <c r="AS59" s="70" t="str">
        <f aca="false">IF(AND(ISNUMBER(SKOR!AL22),SKOR!AL22=0),SKOR!AL$5,"")</f>
        <v/>
      </c>
      <c r="AT59" s="70" t="str">
        <f aca="false">IF(AND(ISNUMBER(SKOR!AM22),SKOR!AM22=0),SKOR!AM$5,"")</f>
        <v/>
      </c>
      <c r="AU59" s="70" t="n">
        <f aca="false">IF(AND(ISNUMBER(SKOR!AN22),SKOR!AN22=0),SKOR!AN$5,"")</f>
        <v>36</v>
      </c>
      <c r="AV59" s="70" t="str">
        <f aca="false">IF(AND(ISNUMBER(SKOR!AO22),SKOR!AO22=0),SKOR!AO$5,"")</f>
        <v/>
      </c>
      <c r="AW59" s="70" t="str">
        <f aca="false">IF(AND(ISNUMBER(SKOR!AP22),SKOR!AP22=0),SKOR!AP$5,"")</f>
        <v/>
      </c>
      <c r="AX59" s="70" t="str">
        <f aca="false">IF(AND(ISNUMBER(SKOR!AQ22),SKOR!AQ22=0),SKOR!AQ$5,"")</f>
        <v/>
      </c>
      <c r="AY59" s="70" t="str">
        <f aca="false">IF(AND(ISNUMBER(SKOR!AR22),SKOR!AR22=0),SKOR!AR$5,"")</f>
        <v/>
      </c>
    </row>
    <row r="60" customFormat="false" ht="24.75" hidden="false" customHeight="true" outlineLevel="0" collapsed="false">
      <c r="A60" s="65" t="n">
        <f aca="false">NILAI!A23</f>
        <v>18</v>
      </c>
      <c r="B60" s="66" t="str">
        <f aca="false">NILAI!B23</f>
        <v>SISWA 18</v>
      </c>
      <c r="C60" s="65" t="str">
        <f aca="false">NILAI!C23</f>
        <v>IX G</v>
      </c>
      <c r="D60" s="56" t="n">
        <f aca="false">NILAI!F23</f>
        <v>77.5</v>
      </c>
      <c r="E60" s="67" t="n">
        <f aca="false">IF(D60="","",D60-NILAI_KKM)</f>
        <v>2.5</v>
      </c>
      <c r="F60" s="68" t="str">
        <f aca="false">IF(D60="","",IF(D60&lt;NILAI_KKM,"Remedial","Pengayaan"))</f>
        <v>Pengayaan</v>
      </c>
      <c r="G60" s="66" t="str">
        <f aca="false">IF(F60="","",IF(F60="Remedial",IF(D60&lt;BATAS_INTENSIF,"Remedial intensif: pembelajaran ulang + tes ulang","Remedial terbimbing: bahas butir salah + tes ulang"),IF(NILAI!I23="Atas","Pengayaan lanjut: tutor sebaya + soal HOTS","Pengayaan dasar: pendalaman + proyek")))</f>
        <v>Pengayaan lanjut: tutor sebaya + soal HOTS</v>
      </c>
      <c r="H60" s="66" t="str">
        <f aca="false">IF(F60="","",IF(F60="Pengayaan","-",IF(_xlfn.TEXTJOIN(", ",TRUE(),$L60:$AY60)="","-",_xlfn.TEXTJOIN(", ",TRUE(),$L60:$AY60))))</f>
        <v>-</v>
      </c>
      <c r="I60" s="69"/>
      <c r="J60" s="65" t="str">
        <f aca="false">IF(OR(F60&lt;&gt;"Remedial",I60=""),"",IF(I60&gt;=NILAI_KKM,"Tuntas","Belum tuntas"))</f>
        <v/>
      </c>
      <c r="L60" s="70" t="n">
        <f aca="false">IF(AND(ISNUMBER(SKOR!E23),SKOR!E23=0),SKOR!E$5,"")</f>
        <v>1</v>
      </c>
      <c r="M60" s="70" t="str">
        <f aca="false">IF(AND(ISNUMBER(SKOR!F23),SKOR!F23=0),SKOR!F$5,"")</f>
        <v/>
      </c>
      <c r="N60" s="70" t="str">
        <f aca="false">IF(AND(ISNUMBER(SKOR!G23),SKOR!G23=0),SKOR!G$5,"")</f>
        <v/>
      </c>
      <c r="O60" s="70" t="str">
        <f aca="false">IF(AND(ISNUMBER(SKOR!H23),SKOR!H23=0),SKOR!H$5,"")</f>
        <v/>
      </c>
      <c r="P60" s="70" t="str">
        <f aca="false">IF(AND(ISNUMBER(SKOR!I23),SKOR!I23=0),SKOR!I$5,"")</f>
        <v/>
      </c>
      <c r="Q60" s="70" t="str">
        <f aca="false">IF(AND(ISNUMBER(SKOR!J23),SKOR!J23=0),SKOR!J$5,"")</f>
        <v/>
      </c>
      <c r="R60" s="70" t="str">
        <f aca="false">IF(AND(ISNUMBER(SKOR!K23),SKOR!K23=0),SKOR!K$5,"")</f>
        <v/>
      </c>
      <c r="S60" s="70" t="str">
        <f aca="false">IF(AND(ISNUMBER(SKOR!L23),SKOR!L23=0),SKOR!L$5,"")</f>
        <v/>
      </c>
      <c r="T60" s="70" t="n">
        <f aca="false">IF(AND(ISNUMBER(SKOR!M23),SKOR!M23=0),SKOR!M$5,"")</f>
        <v>9</v>
      </c>
      <c r="U60" s="70" t="str">
        <f aca="false">IF(AND(ISNUMBER(SKOR!N23),SKOR!N23=0),SKOR!N$5,"")</f>
        <v/>
      </c>
      <c r="V60" s="70" t="str">
        <f aca="false">IF(AND(ISNUMBER(SKOR!O23),SKOR!O23=0),SKOR!O$5,"")</f>
        <v/>
      </c>
      <c r="W60" s="70" t="str">
        <f aca="false">IF(AND(ISNUMBER(SKOR!P23),SKOR!P23=0),SKOR!P$5,"")</f>
        <v/>
      </c>
      <c r="X60" s="70" t="n">
        <f aca="false">IF(AND(ISNUMBER(SKOR!Q23),SKOR!Q23=0),SKOR!Q$5,"")</f>
        <v>13</v>
      </c>
      <c r="Y60" s="70" t="str">
        <f aca="false">IF(AND(ISNUMBER(SKOR!R23),SKOR!R23=0),SKOR!R$5,"")</f>
        <v/>
      </c>
      <c r="Z60" s="70" t="str">
        <f aca="false">IF(AND(ISNUMBER(SKOR!S23),SKOR!S23=0),SKOR!S$5,"")</f>
        <v/>
      </c>
      <c r="AA60" s="70" t="str">
        <f aca="false">IF(AND(ISNUMBER(SKOR!T23),SKOR!T23=0),SKOR!T$5,"")</f>
        <v/>
      </c>
      <c r="AB60" s="70" t="str">
        <f aca="false">IF(AND(ISNUMBER(SKOR!U23),SKOR!U23=0),SKOR!U$5,"")</f>
        <v/>
      </c>
      <c r="AC60" s="70" t="n">
        <f aca="false">IF(AND(ISNUMBER(SKOR!V23),SKOR!V23=0),SKOR!V$5,"")</f>
        <v>18</v>
      </c>
      <c r="AD60" s="70" t="str">
        <f aca="false">IF(AND(ISNUMBER(SKOR!W23),SKOR!W23=0),SKOR!W$5,"")</f>
        <v/>
      </c>
      <c r="AE60" s="70" t="str">
        <f aca="false">IF(AND(ISNUMBER(SKOR!X23),SKOR!X23=0),SKOR!X$5,"")</f>
        <v/>
      </c>
      <c r="AF60" s="70" t="str">
        <f aca="false">IF(AND(ISNUMBER(SKOR!Y23),SKOR!Y23=0),SKOR!Y$5,"")</f>
        <v/>
      </c>
      <c r="AG60" s="70" t="str">
        <f aca="false">IF(AND(ISNUMBER(SKOR!Z23),SKOR!Z23=0),SKOR!Z$5,"")</f>
        <v/>
      </c>
      <c r="AH60" s="70" t="n">
        <f aca="false">IF(AND(ISNUMBER(SKOR!AA23),SKOR!AA23=0),SKOR!AA$5,"")</f>
        <v>23</v>
      </c>
      <c r="AI60" s="70" t="str">
        <f aca="false">IF(AND(ISNUMBER(SKOR!AB23),SKOR!AB23=0),SKOR!AB$5,"")</f>
        <v/>
      </c>
      <c r="AJ60" s="70" t="n">
        <f aca="false">IF(AND(ISNUMBER(SKOR!AC23),SKOR!AC23=0),SKOR!AC$5,"")</f>
        <v>25</v>
      </c>
      <c r="AK60" s="70" t="str">
        <f aca="false">IF(AND(ISNUMBER(SKOR!AD23),SKOR!AD23=0),SKOR!AD$5,"")</f>
        <v/>
      </c>
      <c r="AL60" s="70" t="str">
        <f aca="false">IF(AND(ISNUMBER(SKOR!AE23),SKOR!AE23=0),SKOR!AE$5,"")</f>
        <v/>
      </c>
      <c r="AM60" s="70" t="n">
        <f aca="false">IF(AND(ISNUMBER(SKOR!AF23),SKOR!AF23=0),SKOR!AF$5,"")</f>
        <v>28</v>
      </c>
      <c r="AN60" s="70" t="str">
        <f aca="false">IF(AND(ISNUMBER(SKOR!AG23),SKOR!AG23=0),SKOR!AG$5,"")</f>
        <v/>
      </c>
      <c r="AO60" s="70" t="str">
        <f aca="false">IF(AND(ISNUMBER(SKOR!AH23),SKOR!AH23=0),SKOR!AH$5,"")</f>
        <v/>
      </c>
      <c r="AP60" s="70" t="str">
        <f aca="false">IF(AND(ISNUMBER(SKOR!AI23),SKOR!AI23=0),SKOR!AI$5,"")</f>
        <v/>
      </c>
      <c r="AQ60" s="70" t="n">
        <f aca="false">IF(AND(ISNUMBER(SKOR!AJ23),SKOR!AJ23=0),SKOR!AJ$5,"")</f>
        <v>32</v>
      </c>
      <c r="AR60" s="70" t="str">
        <f aca="false">IF(AND(ISNUMBER(SKOR!AK23),SKOR!AK23=0),SKOR!AK$5,"")</f>
        <v/>
      </c>
      <c r="AS60" s="70" t="str">
        <f aca="false">IF(AND(ISNUMBER(SKOR!AL23),SKOR!AL23=0),SKOR!AL$5,"")</f>
        <v/>
      </c>
      <c r="AT60" s="70" t="str">
        <f aca="false">IF(AND(ISNUMBER(SKOR!AM23),SKOR!AM23=0),SKOR!AM$5,"")</f>
        <v/>
      </c>
      <c r="AU60" s="70" t="str">
        <f aca="false">IF(AND(ISNUMBER(SKOR!AN23),SKOR!AN23=0),SKOR!AN$5,"")</f>
        <v/>
      </c>
      <c r="AV60" s="70" t="str">
        <f aca="false">IF(AND(ISNUMBER(SKOR!AO23),SKOR!AO23=0),SKOR!AO$5,"")</f>
        <v/>
      </c>
      <c r="AW60" s="70" t="str">
        <f aca="false">IF(AND(ISNUMBER(SKOR!AP23),SKOR!AP23=0),SKOR!AP$5,"")</f>
        <v/>
      </c>
      <c r="AX60" s="70" t="n">
        <f aca="false">IF(AND(ISNUMBER(SKOR!AQ23),SKOR!AQ23=0),SKOR!AQ$5,"")</f>
        <v>39</v>
      </c>
      <c r="AY60" s="70" t="str">
        <f aca="false">IF(AND(ISNUMBER(SKOR!AR23),SKOR!AR23=0),SKOR!AR$5,"")</f>
        <v/>
      </c>
    </row>
    <row r="61" customFormat="false" ht="24.75" hidden="false" customHeight="true" outlineLevel="0" collapsed="false">
      <c r="A61" s="65" t="n">
        <f aca="false">NILAI!A24</f>
        <v>19</v>
      </c>
      <c r="B61" s="66" t="str">
        <f aca="false">NILAI!B24</f>
        <v>SISWA 19</v>
      </c>
      <c r="C61" s="65" t="str">
        <f aca="false">NILAI!C24</f>
        <v>IX G</v>
      </c>
      <c r="D61" s="56" t="n">
        <f aca="false">NILAI!F24</f>
        <v>52.5</v>
      </c>
      <c r="E61" s="67" t="n">
        <f aca="false">IF(D61="","",D61-NILAI_KKM)</f>
        <v>-22.5</v>
      </c>
      <c r="F61" s="68" t="str">
        <f aca="false">IF(D61="","",IF(D61&lt;NILAI_KKM,"Remedial","Pengayaan"))</f>
        <v>Remedial</v>
      </c>
      <c r="G61" s="66" t="str">
        <f aca="false">IF(F61="","",IF(F61="Remedial",IF(D61&lt;BATAS_INTENSIF,"Remedial intensif: pembelajaran ulang + tes ulang","Remedial terbimbing: bahas butir salah + tes ulang"),IF(NILAI!I24="Atas","Pengayaan lanjut: tutor sebaya + soal HOTS","Pengayaan dasar: pendalaman + proyek")))</f>
        <v>Remedial terbimbing: bahas butir salah + tes ulang</v>
      </c>
      <c r="H61" s="66" t="str">
        <f aca="false">IF(F61="","",IF(F61="Pengayaan","-",IF(_xlfn.TEXTJOIN(", ",TRUE(),$L61:$AY61)="","-",_xlfn.TEXTJOIN(", ",TRUE(),$L61:$AY61))))</f>
        <v>1, 2, 4, 7, 9, 10, 15, 17, 18, 19, 20, 21, 22, 27, 28, 29, 32, 35, 37</v>
      </c>
      <c r="I61" s="69"/>
      <c r="J61" s="65" t="str">
        <f aca="false">IF(OR(F61&lt;&gt;"Remedial",I61=""),"",IF(I61&gt;=NILAI_KKM,"Tuntas","Belum tuntas"))</f>
        <v/>
      </c>
      <c r="L61" s="70" t="n">
        <f aca="false">IF(AND(ISNUMBER(SKOR!E24),SKOR!E24=0),SKOR!E$5,"")</f>
        <v>1</v>
      </c>
      <c r="M61" s="70" t="n">
        <f aca="false">IF(AND(ISNUMBER(SKOR!F24),SKOR!F24=0),SKOR!F$5,"")</f>
        <v>2</v>
      </c>
      <c r="N61" s="70" t="str">
        <f aca="false">IF(AND(ISNUMBER(SKOR!G24),SKOR!G24=0),SKOR!G$5,"")</f>
        <v/>
      </c>
      <c r="O61" s="70" t="n">
        <f aca="false">IF(AND(ISNUMBER(SKOR!H24),SKOR!H24=0),SKOR!H$5,"")</f>
        <v>4</v>
      </c>
      <c r="P61" s="70" t="str">
        <f aca="false">IF(AND(ISNUMBER(SKOR!I24),SKOR!I24=0),SKOR!I$5,"")</f>
        <v/>
      </c>
      <c r="Q61" s="70" t="str">
        <f aca="false">IF(AND(ISNUMBER(SKOR!J24),SKOR!J24=0),SKOR!J$5,"")</f>
        <v/>
      </c>
      <c r="R61" s="70" t="n">
        <f aca="false">IF(AND(ISNUMBER(SKOR!K24),SKOR!K24=0),SKOR!K$5,"")</f>
        <v>7</v>
      </c>
      <c r="S61" s="70" t="str">
        <f aca="false">IF(AND(ISNUMBER(SKOR!L24),SKOR!L24=0),SKOR!L$5,"")</f>
        <v/>
      </c>
      <c r="T61" s="70" t="n">
        <f aca="false">IF(AND(ISNUMBER(SKOR!M24),SKOR!M24=0),SKOR!M$5,"")</f>
        <v>9</v>
      </c>
      <c r="U61" s="70" t="n">
        <f aca="false">IF(AND(ISNUMBER(SKOR!N24),SKOR!N24=0),SKOR!N$5,"")</f>
        <v>10</v>
      </c>
      <c r="V61" s="70" t="str">
        <f aca="false">IF(AND(ISNUMBER(SKOR!O24),SKOR!O24=0),SKOR!O$5,"")</f>
        <v/>
      </c>
      <c r="W61" s="70" t="str">
        <f aca="false">IF(AND(ISNUMBER(SKOR!P24),SKOR!P24=0),SKOR!P$5,"")</f>
        <v/>
      </c>
      <c r="X61" s="70" t="str">
        <f aca="false">IF(AND(ISNUMBER(SKOR!Q24),SKOR!Q24=0),SKOR!Q$5,"")</f>
        <v/>
      </c>
      <c r="Y61" s="70" t="str">
        <f aca="false">IF(AND(ISNUMBER(SKOR!R24),SKOR!R24=0),SKOR!R$5,"")</f>
        <v/>
      </c>
      <c r="Z61" s="70" t="n">
        <f aca="false">IF(AND(ISNUMBER(SKOR!S24),SKOR!S24=0),SKOR!S$5,"")</f>
        <v>15</v>
      </c>
      <c r="AA61" s="70" t="str">
        <f aca="false">IF(AND(ISNUMBER(SKOR!T24),SKOR!T24=0),SKOR!T$5,"")</f>
        <v/>
      </c>
      <c r="AB61" s="70" t="n">
        <f aca="false">IF(AND(ISNUMBER(SKOR!U24),SKOR!U24=0),SKOR!U$5,"")</f>
        <v>17</v>
      </c>
      <c r="AC61" s="70" t="n">
        <f aca="false">IF(AND(ISNUMBER(SKOR!V24),SKOR!V24=0),SKOR!V$5,"")</f>
        <v>18</v>
      </c>
      <c r="AD61" s="70" t="n">
        <f aca="false">IF(AND(ISNUMBER(SKOR!W24),SKOR!W24=0),SKOR!W$5,"")</f>
        <v>19</v>
      </c>
      <c r="AE61" s="70" t="n">
        <f aca="false">IF(AND(ISNUMBER(SKOR!X24),SKOR!X24=0),SKOR!X$5,"")</f>
        <v>20</v>
      </c>
      <c r="AF61" s="70" t="n">
        <f aca="false">IF(AND(ISNUMBER(SKOR!Y24),SKOR!Y24=0),SKOR!Y$5,"")</f>
        <v>21</v>
      </c>
      <c r="AG61" s="70" t="n">
        <f aca="false">IF(AND(ISNUMBER(SKOR!Z24),SKOR!Z24=0),SKOR!Z$5,"")</f>
        <v>22</v>
      </c>
      <c r="AH61" s="70" t="str">
        <f aca="false">IF(AND(ISNUMBER(SKOR!AA24),SKOR!AA24=0),SKOR!AA$5,"")</f>
        <v/>
      </c>
      <c r="AI61" s="70" t="str">
        <f aca="false">IF(AND(ISNUMBER(SKOR!AB24),SKOR!AB24=0),SKOR!AB$5,"")</f>
        <v/>
      </c>
      <c r="AJ61" s="70" t="str">
        <f aca="false">IF(AND(ISNUMBER(SKOR!AC24),SKOR!AC24=0),SKOR!AC$5,"")</f>
        <v/>
      </c>
      <c r="AK61" s="70" t="str">
        <f aca="false">IF(AND(ISNUMBER(SKOR!AD24),SKOR!AD24=0),SKOR!AD$5,"")</f>
        <v/>
      </c>
      <c r="AL61" s="70" t="n">
        <f aca="false">IF(AND(ISNUMBER(SKOR!AE24),SKOR!AE24=0),SKOR!AE$5,"")</f>
        <v>27</v>
      </c>
      <c r="AM61" s="70" t="n">
        <f aca="false">IF(AND(ISNUMBER(SKOR!AF24),SKOR!AF24=0),SKOR!AF$5,"")</f>
        <v>28</v>
      </c>
      <c r="AN61" s="70" t="n">
        <f aca="false">IF(AND(ISNUMBER(SKOR!AG24),SKOR!AG24=0),SKOR!AG$5,"")</f>
        <v>29</v>
      </c>
      <c r="AO61" s="70" t="str">
        <f aca="false">IF(AND(ISNUMBER(SKOR!AH24),SKOR!AH24=0),SKOR!AH$5,"")</f>
        <v/>
      </c>
      <c r="AP61" s="70" t="str">
        <f aca="false">IF(AND(ISNUMBER(SKOR!AI24),SKOR!AI24=0),SKOR!AI$5,"")</f>
        <v/>
      </c>
      <c r="AQ61" s="70" t="n">
        <f aca="false">IF(AND(ISNUMBER(SKOR!AJ24),SKOR!AJ24=0),SKOR!AJ$5,"")</f>
        <v>32</v>
      </c>
      <c r="AR61" s="70" t="str">
        <f aca="false">IF(AND(ISNUMBER(SKOR!AK24),SKOR!AK24=0),SKOR!AK$5,"")</f>
        <v/>
      </c>
      <c r="AS61" s="70" t="str">
        <f aca="false">IF(AND(ISNUMBER(SKOR!AL24),SKOR!AL24=0),SKOR!AL$5,"")</f>
        <v/>
      </c>
      <c r="AT61" s="70" t="n">
        <f aca="false">IF(AND(ISNUMBER(SKOR!AM24),SKOR!AM24=0),SKOR!AM$5,"")</f>
        <v>35</v>
      </c>
      <c r="AU61" s="70" t="str">
        <f aca="false">IF(AND(ISNUMBER(SKOR!AN24),SKOR!AN24=0),SKOR!AN$5,"")</f>
        <v/>
      </c>
      <c r="AV61" s="70" t="n">
        <f aca="false">IF(AND(ISNUMBER(SKOR!AO24),SKOR!AO24=0),SKOR!AO$5,"")</f>
        <v>37</v>
      </c>
      <c r="AW61" s="70" t="str">
        <f aca="false">IF(AND(ISNUMBER(SKOR!AP24),SKOR!AP24=0),SKOR!AP$5,"")</f>
        <v/>
      </c>
      <c r="AX61" s="70" t="str">
        <f aca="false">IF(AND(ISNUMBER(SKOR!AQ24),SKOR!AQ24=0),SKOR!AQ$5,"")</f>
        <v/>
      </c>
      <c r="AY61" s="70" t="str">
        <f aca="false">IF(AND(ISNUMBER(SKOR!AR24),SKOR!AR24=0),SKOR!AR$5,"")</f>
        <v/>
      </c>
    </row>
    <row r="62" customFormat="false" ht="14.25" hidden="false" customHeight="false" outlineLevel="0" collapsed="false">
      <c r="A62" s="65" t="n">
        <f aca="false">NILAI!A25</f>
        <v>20</v>
      </c>
      <c r="B62" s="66" t="str">
        <f aca="false">NILAI!B25</f>
        <v>SISWA 20</v>
      </c>
      <c r="C62" s="65" t="str">
        <f aca="false">NILAI!C25</f>
        <v>IX G</v>
      </c>
      <c r="D62" s="56" t="n">
        <f aca="false">NILAI!F25</f>
        <v>77.5</v>
      </c>
      <c r="E62" s="67" t="n">
        <f aca="false">IF(D62="","",D62-NILAI_KKM)</f>
        <v>2.5</v>
      </c>
      <c r="F62" s="68" t="str">
        <f aca="false">IF(D62="","",IF(D62&lt;NILAI_KKM,"Remedial","Pengayaan"))</f>
        <v>Pengayaan</v>
      </c>
      <c r="G62" s="66" t="str">
        <f aca="false">IF(F62="","",IF(F62="Remedial",IF(D62&lt;BATAS_INTENSIF,"Remedial intensif: pembelajaran ulang + tes ulang","Remedial terbimbing: bahas butir salah + tes ulang"),IF(NILAI!I25="Atas","Pengayaan lanjut: tutor sebaya + soal HOTS","Pengayaan dasar: pendalaman + proyek")))</f>
        <v>Pengayaan lanjut: tutor sebaya + soal HOTS</v>
      </c>
      <c r="H62" s="66" t="str">
        <f aca="false">IF(F62="","",IF(F62="Pengayaan","-",IF(_xlfn.TEXTJOIN(", ",TRUE(),$L62:$AY62)="","-",_xlfn.TEXTJOIN(", ",TRUE(),$L62:$AY62))))</f>
        <v>-</v>
      </c>
      <c r="I62" s="69"/>
      <c r="J62" s="65" t="str">
        <f aca="false">IF(OR(F62&lt;&gt;"Remedial",I62=""),"",IF(I62&gt;=NILAI_KKM,"Tuntas","Belum tuntas"))</f>
        <v/>
      </c>
      <c r="L62" s="70" t="str">
        <f aca="false">IF(AND(ISNUMBER(SKOR!E25),SKOR!E25=0),SKOR!E$5,"")</f>
        <v/>
      </c>
      <c r="M62" s="70" t="str">
        <f aca="false">IF(AND(ISNUMBER(SKOR!F25),SKOR!F25=0),SKOR!F$5,"")</f>
        <v/>
      </c>
      <c r="N62" s="70" t="str">
        <f aca="false">IF(AND(ISNUMBER(SKOR!G25),SKOR!G25=0),SKOR!G$5,"")</f>
        <v/>
      </c>
      <c r="O62" s="70" t="str">
        <f aca="false">IF(AND(ISNUMBER(SKOR!H25),SKOR!H25=0),SKOR!H$5,"")</f>
        <v/>
      </c>
      <c r="P62" s="70" t="str">
        <f aca="false">IF(AND(ISNUMBER(SKOR!I25),SKOR!I25=0),SKOR!I$5,"")</f>
        <v/>
      </c>
      <c r="Q62" s="70" t="n">
        <f aca="false">IF(AND(ISNUMBER(SKOR!J25),SKOR!J25=0),SKOR!J$5,"")</f>
        <v>6</v>
      </c>
      <c r="R62" s="70" t="str">
        <f aca="false">IF(AND(ISNUMBER(SKOR!K25),SKOR!K25=0),SKOR!K$5,"")</f>
        <v/>
      </c>
      <c r="S62" s="70" t="str">
        <f aca="false">IF(AND(ISNUMBER(SKOR!L25),SKOR!L25=0),SKOR!L$5,"")</f>
        <v/>
      </c>
      <c r="T62" s="70" t="n">
        <f aca="false">IF(AND(ISNUMBER(SKOR!M25),SKOR!M25=0),SKOR!M$5,"")</f>
        <v>9</v>
      </c>
      <c r="U62" s="70" t="n">
        <f aca="false">IF(AND(ISNUMBER(SKOR!N25),SKOR!N25=0),SKOR!N$5,"")</f>
        <v>10</v>
      </c>
      <c r="V62" s="70" t="str">
        <f aca="false">IF(AND(ISNUMBER(SKOR!O25),SKOR!O25=0),SKOR!O$5,"")</f>
        <v/>
      </c>
      <c r="W62" s="70" t="str">
        <f aca="false">IF(AND(ISNUMBER(SKOR!P25),SKOR!P25=0),SKOR!P$5,"")</f>
        <v/>
      </c>
      <c r="X62" s="70" t="str">
        <f aca="false">IF(AND(ISNUMBER(SKOR!Q25),SKOR!Q25=0),SKOR!Q$5,"")</f>
        <v/>
      </c>
      <c r="Y62" s="70" t="n">
        <f aca="false">IF(AND(ISNUMBER(SKOR!R25),SKOR!R25=0),SKOR!R$5,"")</f>
        <v>14</v>
      </c>
      <c r="Z62" s="70" t="str">
        <f aca="false">IF(AND(ISNUMBER(SKOR!S25),SKOR!S25=0),SKOR!S$5,"")</f>
        <v/>
      </c>
      <c r="AA62" s="70" t="str">
        <f aca="false">IF(AND(ISNUMBER(SKOR!T25),SKOR!T25=0),SKOR!T$5,"")</f>
        <v/>
      </c>
      <c r="AB62" s="70" t="str">
        <f aca="false">IF(AND(ISNUMBER(SKOR!U25),SKOR!U25=0),SKOR!U$5,"")</f>
        <v/>
      </c>
      <c r="AC62" s="70" t="str">
        <f aca="false">IF(AND(ISNUMBER(SKOR!V25),SKOR!V25=0),SKOR!V$5,"")</f>
        <v/>
      </c>
      <c r="AD62" s="70" t="n">
        <f aca="false">IF(AND(ISNUMBER(SKOR!W25),SKOR!W25=0),SKOR!W$5,"")</f>
        <v>19</v>
      </c>
      <c r="AE62" s="70" t="str">
        <f aca="false">IF(AND(ISNUMBER(SKOR!X25),SKOR!X25=0),SKOR!X$5,"")</f>
        <v/>
      </c>
      <c r="AF62" s="70" t="str">
        <f aca="false">IF(AND(ISNUMBER(SKOR!Y25),SKOR!Y25=0),SKOR!Y$5,"")</f>
        <v/>
      </c>
      <c r="AG62" s="70" t="n">
        <f aca="false">IF(AND(ISNUMBER(SKOR!Z25),SKOR!Z25=0),SKOR!Z$5,"")</f>
        <v>22</v>
      </c>
      <c r="AH62" s="70" t="str">
        <f aca="false">IF(AND(ISNUMBER(SKOR!AA25),SKOR!AA25=0),SKOR!AA$5,"")</f>
        <v/>
      </c>
      <c r="AI62" s="70" t="n">
        <f aca="false">IF(AND(ISNUMBER(SKOR!AB25),SKOR!AB25=0),SKOR!AB$5,"")</f>
        <v>24</v>
      </c>
      <c r="AJ62" s="70" t="str">
        <f aca="false">IF(AND(ISNUMBER(SKOR!AC25),SKOR!AC25=0),SKOR!AC$5,"")</f>
        <v/>
      </c>
      <c r="AK62" s="70" t="str">
        <f aca="false">IF(AND(ISNUMBER(SKOR!AD25),SKOR!AD25=0),SKOR!AD$5,"")</f>
        <v/>
      </c>
      <c r="AL62" s="70" t="str">
        <f aca="false">IF(AND(ISNUMBER(SKOR!AE25),SKOR!AE25=0),SKOR!AE$5,"")</f>
        <v/>
      </c>
      <c r="AM62" s="70" t="str">
        <f aca="false">IF(AND(ISNUMBER(SKOR!AF25),SKOR!AF25=0),SKOR!AF$5,"")</f>
        <v/>
      </c>
      <c r="AN62" s="70" t="str">
        <f aca="false">IF(AND(ISNUMBER(SKOR!AG25),SKOR!AG25=0),SKOR!AG$5,"")</f>
        <v/>
      </c>
      <c r="AO62" s="70" t="str">
        <f aca="false">IF(AND(ISNUMBER(SKOR!AH25),SKOR!AH25=0),SKOR!AH$5,"")</f>
        <v/>
      </c>
      <c r="AP62" s="70" t="str">
        <f aca="false">IF(AND(ISNUMBER(SKOR!AI25),SKOR!AI25=0),SKOR!AI$5,"")</f>
        <v/>
      </c>
      <c r="AQ62" s="70" t="str">
        <f aca="false">IF(AND(ISNUMBER(SKOR!AJ25),SKOR!AJ25=0),SKOR!AJ$5,"")</f>
        <v/>
      </c>
      <c r="AR62" s="70" t="n">
        <f aca="false">IF(AND(ISNUMBER(SKOR!AK25),SKOR!AK25=0),SKOR!AK$5,"")</f>
        <v>33</v>
      </c>
      <c r="AS62" s="70" t="n">
        <f aca="false">IF(AND(ISNUMBER(SKOR!AL25),SKOR!AL25=0),SKOR!AL$5,"")</f>
        <v>34</v>
      </c>
      <c r="AT62" s="70" t="str">
        <f aca="false">IF(AND(ISNUMBER(SKOR!AM25),SKOR!AM25=0),SKOR!AM$5,"")</f>
        <v/>
      </c>
      <c r="AU62" s="70" t="str">
        <f aca="false">IF(AND(ISNUMBER(SKOR!AN25),SKOR!AN25=0),SKOR!AN$5,"")</f>
        <v/>
      </c>
      <c r="AV62" s="70" t="str">
        <f aca="false">IF(AND(ISNUMBER(SKOR!AO25),SKOR!AO25=0),SKOR!AO$5,"")</f>
        <v/>
      </c>
      <c r="AW62" s="70" t="str">
        <f aca="false">IF(AND(ISNUMBER(SKOR!AP25),SKOR!AP25=0),SKOR!AP$5,"")</f>
        <v/>
      </c>
      <c r="AX62" s="70" t="str">
        <f aca="false">IF(AND(ISNUMBER(SKOR!AQ25),SKOR!AQ25=0),SKOR!AQ$5,"")</f>
        <v/>
      </c>
      <c r="AY62" s="70" t="str">
        <f aca="false">IF(AND(ISNUMBER(SKOR!AR25),SKOR!AR25=0),SKOR!AR$5,"")</f>
        <v/>
      </c>
    </row>
    <row r="63" customFormat="false" ht="24.75" hidden="false" customHeight="true" outlineLevel="0" collapsed="false">
      <c r="A63" s="65" t="n">
        <f aca="false">NILAI!A26</f>
        <v>21</v>
      </c>
      <c r="B63" s="66" t="str">
        <f aca="false">NILAI!B26</f>
        <v>SISWA 21</v>
      </c>
      <c r="C63" s="65" t="str">
        <f aca="false">NILAI!C26</f>
        <v>IX G</v>
      </c>
      <c r="D63" s="56" t="n">
        <f aca="false">NILAI!F26</f>
        <v>70</v>
      </c>
      <c r="E63" s="67" t="n">
        <f aca="false">IF(D63="","",D63-NILAI_KKM)</f>
        <v>-5</v>
      </c>
      <c r="F63" s="68" t="str">
        <f aca="false">IF(D63="","",IF(D63&lt;NILAI_KKM,"Remedial","Pengayaan"))</f>
        <v>Remedial</v>
      </c>
      <c r="G63" s="66" t="str">
        <f aca="false">IF(F63="","",IF(F63="Remedial",IF(D63&lt;BATAS_INTENSIF,"Remedial intensif: pembelajaran ulang + tes ulang","Remedial terbimbing: bahas butir salah + tes ulang"),IF(NILAI!I26="Atas","Pengayaan lanjut: tutor sebaya + soal HOTS","Pengayaan dasar: pendalaman + proyek")))</f>
        <v>Remedial terbimbing: bahas butir salah + tes ulang</v>
      </c>
      <c r="H63" s="66" t="str">
        <f aca="false">IF(F63="","",IF(F63="Pengayaan","-",IF(_xlfn.TEXTJOIN(", ",TRUE(),$L63:$AY63)="","-",_xlfn.TEXTJOIN(", ",TRUE(),$L63:$AY63))))</f>
        <v>1, 8, 9, 15, 23, 25, 26, 30, 32, 37, 39, 40</v>
      </c>
      <c r="I63" s="69"/>
      <c r="J63" s="65" t="str">
        <f aca="false">IF(OR(F63&lt;&gt;"Remedial",I63=""),"",IF(I63&gt;=NILAI_KKM,"Tuntas","Belum tuntas"))</f>
        <v/>
      </c>
      <c r="L63" s="70" t="n">
        <f aca="false">IF(AND(ISNUMBER(SKOR!E26),SKOR!E26=0),SKOR!E$5,"")</f>
        <v>1</v>
      </c>
      <c r="M63" s="70" t="str">
        <f aca="false">IF(AND(ISNUMBER(SKOR!F26),SKOR!F26=0),SKOR!F$5,"")</f>
        <v/>
      </c>
      <c r="N63" s="70" t="str">
        <f aca="false">IF(AND(ISNUMBER(SKOR!G26),SKOR!G26=0),SKOR!G$5,"")</f>
        <v/>
      </c>
      <c r="O63" s="70" t="str">
        <f aca="false">IF(AND(ISNUMBER(SKOR!H26),SKOR!H26=0),SKOR!H$5,"")</f>
        <v/>
      </c>
      <c r="P63" s="70" t="str">
        <f aca="false">IF(AND(ISNUMBER(SKOR!I26),SKOR!I26=0),SKOR!I$5,"")</f>
        <v/>
      </c>
      <c r="Q63" s="70" t="str">
        <f aca="false">IF(AND(ISNUMBER(SKOR!J26),SKOR!J26=0),SKOR!J$5,"")</f>
        <v/>
      </c>
      <c r="R63" s="70" t="str">
        <f aca="false">IF(AND(ISNUMBER(SKOR!K26),SKOR!K26=0),SKOR!K$5,"")</f>
        <v/>
      </c>
      <c r="S63" s="70" t="n">
        <f aca="false">IF(AND(ISNUMBER(SKOR!L26),SKOR!L26=0),SKOR!L$5,"")</f>
        <v>8</v>
      </c>
      <c r="T63" s="70" t="n">
        <f aca="false">IF(AND(ISNUMBER(SKOR!M26),SKOR!M26=0),SKOR!M$5,"")</f>
        <v>9</v>
      </c>
      <c r="U63" s="70" t="str">
        <f aca="false">IF(AND(ISNUMBER(SKOR!N26),SKOR!N26=0),SKOR!N$5,"")</f>
        <v/>
      </c>
      <c r="V63" s="70" t="str">
        <f aca="false">IF(AND(ISNUMBER(SKOR!O26),SKOR!O26=0),SKOR!O$5,"")</f>
        <v/>
      </c>
      <c r="W63" s="70" t="str">
        <f aca="false">IF(AND(ISNUMBER(SKOR!P26),SKOR!P26=0),SKOR!P$5,"")</f>
        <v/>
      </c>
      <c r="X63" s="70" t="str">
        <f aca="false">IF(AND(ISNUMBER(SKOR!Q26),SKOR!Q26=0),SKOR!Q$5,"")</f>
        <v/>
      </c>
      <c r="Y63" s="70" t="str">
        <f aca="false">IF(AND(ISNUMBER(SKOR!R26),SKOR!R26=0),SKOR!R$5,"")</f>
        <v/>
      </c>
      <c r="Z63" s="70" t="n">
        <f aca="false">IF(AND(ISNUMBER(SKOR!S26),SKOR!S26=0),SKOR!S$5,"")</f>
        <v>15</v>
      </c>
      <c r="AA63" s="70" t="str">
        <f aca="false">IF(AND(ISNUMBER(SKOR!T26),SKOR!T26=0),SKOR!T$5,"")</f>
        <v/>
      </c>
      <c r="AB63" s="70" t="str">
        <f aca="false">IF(AND(ISNUMBER(SKOR!U26),SKOR!U26=0),SKOR!U$5,"")</f>
        <v/>
      </c>
      <c r="AC63" s="70" t="str">
        <f aca="false">IF(AND(ISNUMBER(SKOR!V26),SKOR!V26=0),SKOR!V$5,"")</f>
        <v/>
      </c>
      <c r="AD63" s="70" t="str">
        <f aca="false">IF(AND(ISNUMBER(SKOR!W26),SKOR!W26=0),SKOR!W$5,"")</f>
        <v/>
      </c>
      <c r="AE63" s="70" t="str">
        <f aca="false">IF(AND(ISNUMBER(SKOR!X26),SKOR!X26=0),SKOR!X$5,"")</f>
        <v/>
      </c>
      <c r="AF63" s="70" t="str">
        <f aca="false">IF(AND(ISNUMBER(SKOR!Y26),SKOR!Y26=0),SKOR!Y$5,"")</f>
        <v/>
      </c>
      <c r="AG63" s="70" t="str">
        <f aca="false">IF(AND(ISNUMBER(SKOR!Z26),SKOR!Z26=0),SKOR!Z$5,"")</f>
        <v/>
      </c>
      <c r="AH63" s="70" t="n">
        <f aca="false">IF(AND(ISNUMBER(SKOR!AA26),SKOR!AA26=0),SKOR!AA$5,"")</f>
        <v>23</v>
      </c>
      <c r="AI63" s="70" t="str">
        <f aca="false">IF(AND(ISNUMBER(SKOR!AB26),SKOR!AB26=0),SKOR!AB$5,"")</f>
        <v/>
      </c>
      <c r="AJ63" s="70" t="n">
        <f aca="false">IF(AND(ISNUMBER(SKOR!AC26),SKOR!AC26=0),SKOR!AC$5,"")</f>
        <v>25</v>
      </c>
      <c r="AK63" s="70" t="n">
        <f aca="false">IF(AND(ISNUMBER(SKOR!AD26),SKOR!AD26=0),SKOR!AD$5,"")</f>
        <v>26</v>
      </c>
      <c r="AL63" s="70" t="str">
        <f aca="false">IF(AND(ISNUMBER(SKOR!AE26),SKOR!AE26=0),SKOR!AE$5,"")</f>
        <v/>
      </c>
      <c r="AM63" s="70" t="str">
        <f aca="false">IF(AND(ISNUMBER(SKOR!AF26),SKOR!AF26=0),SKOR!AF$5,"")</f>
        <v/>
      </c>
      <c r="AN63" s="70" t="str">
        <f aca="false">IF(AND(ISNUMBER(SKOR!AG26),SKOR!AG26=0),SKOR!AG$5,"")</f>
        <v/>
      </c>
      <c r="AO63" s="70" t="n">
        <f aca="false">IF(AND(ISNUMBER(SKOR!AH26),SKOR!AH26=0),SKOR!AH$5,"")</f>
        <v>30</v>
      </c>
      <c r="AP63" s="70" t="str">
        <f aca="false">IF(AND(ISNUMBER(SKOR!AI26),SKOR!AI26=0),SKOR!AI$5,"")</f>
        <v/>
      </c>
      <c r="AQ63" s="70" t="n">
        <f aca="false">IF(AND(ISNUMBER(SKOR!AJ26),SKOR!AJ26=0),SKOR!AJ$5,"")</f>
        <v>32</v>
      </c>
      <c r="AR63" s="70" t="str">
        <f aca="false">IF(AND(ISNUMBER(SKOR!AK26),SKOR!AK26=0),SKOR!AK$5,"")</f>
        <v/>
      </c>
      <c r="AS63" s="70" t="str">
        <f aca="false">IF(AND(ISNUMBER(SKOR!AL26),SKOR!AL26=0),SKOR!AL$5,"")</f>
        <v/>
      </c>
      <c r="AT63" s="70" t="str">
        <f aca="false">IF(AND(ISNUMBER(SKOR!AM26),SKOR!AM26=0),SKOR!AM$5,"")</f>
        <v/>
      </c>
      <c r="AU63" s="70" t="str">
        <f aca="false">IF(AND(ISNUMBER(SKOR!AN26),SKOR!AN26=0),SKOR!AN$5,"")</f>
        <v/>
      </c>
      <c r="AV63" s="70" t="n">
        <f aca="false">IF(AND(ISNUMBER(SKOR!AO26),SKOR!AO26=0),SKOR!AO$5,"")</f>
        <v>37</v>
      </c>
      <c r="AW63" s="70" t="str">
        <f aca="false">IF(AND(ISNUMBER(SKOR!AP26),SKOR!AP26=0),SKOR!AP$5,"")</f>
        <v/>
      </c>
      <c r="AX63" s="70" t="n">
        <f aca="false">IF(AND(ISNUMBER(SKOR!AQ26),SKOR!AQ26=0),SKOR!AQ$5,"")</f>
        <v>39</v>
      </c>
      <c r="AY63" s="70" t="n">
        <f aca="false">IF(AND(ISNUMBER(SKOR!AR26),SKOR!AR26=0),SKOR!AR$5,"")</f>
        <v>40</v>
      </c>
    </row>
    <row r="64" customFormat="false" ht="23.85" hidden="false" customHeight="false" outlineLevel="0" collapsed="false">
      <c r="A64" s="65" t="n">
        <f aca="false">NILAI!A27</f>
        <v>22</v>
      </c>
      <c r="B64" s="66" t="str">
        <f aca="false">NILAI!B27</f>
        <v>SISWA 22</v>
      </c>
      <c r="C64" s="65" t="str">
        <f aca="false">NILAI!C27</f>
        <v>IX G</v>
      </c>
      <c r="D64" s="56" t="n">
        <f aca="false">NILAI!F27</f>
        <v>60</v>
      </c>
      <c r="E64" s="67" t="n">
        <f aca="false">IF(D64="","",D64-NILAI_KKM)</f>
        <v>-15</v>
      </c>
      <c r="F64" s="68" t="str">
        <f aca="false">IF(D64="","",IF(D64&lt;NILAI_KKM,"Remedial","Pengayaan"))</f>
        <v>Remedial</v>
      </c>
      <c r="G64" s="66" t="str">
        <f aca="false">IF(F64="","",IF(F64="Remedial",IF(D64&lt;BATAS_INTENSIF,"Remedial intensif: pembelajaran ulang + tes ulang","Remedial terbimbing: bahas butir salah + tes ulang"),IF(NILAI!I27="Atas","Pengayaan lanjut: tutor sebaya + soal HOTS","Pengayaan dasar: pendalaman + proyek")))</f>
        <v>Remedial terbimbing: bahas butir salah + tes ulang</v>
      </c>
      <c r="H64" s="66" t="str">
        <f aca="false">IF(F64="","",IF(F64="Pengayaan","-",IF(_xlfn.TEXTJOIN(", ",TRUE(),$L64:$AY64)="","-",_xlfn.TEXTJOIN(", ",TRUE(),$L64:$AY64))))</f>
        <v>3, 5, 9, 10, 13, 15, 17, 19, 21, 23, 24, 31, 32, 36, 37, 39</v>
      </c>
      <c r="I64" s="69"/>
      <c r="J64" s="65" t="str">
        <f aca="false">IF(OR(F64&lt;&gt;"Remedial",I64=""),"",IF(I64&gt;=NILAI_KKM,"Tuntas","Belum tuntas"))</f>
        <v/>
      </c>
      <c r="L64" s="70" t="str">
        <f aca="false">IF(AND(ISNUMBER(SKOR!E27),SKOR!E27=0),SKOR!E$5,"")</f>
        <v/>
      </c>
      <c r="M64" s="70" t="str">
        <f aca="false">IF(AND(ISNUMBER(SKOR!F27),SKOR!F27=0),SKOR!F$5,"")</f>
        <v/>
      </c>
      <c r="N64" s="70" t="n">
        <f aca="false">IF(AND(ISNUMBER(SKOR!G27),SKOR!G27=0),SKOR!G$5,"")</f>
        <v>3</v>
      </c>
      <c r="O64" s="70" t="str">
        <f aca="false">IF(AND(ISNUMBER(SKOR!H27),SKOR!H27=0),SKOR!H$5,"")</f>
        <v/>
      </c>
      <c r="P64" s="70" t="n">
        <f aca="false">IF(AND(ISNUMBER(SKOR!I27),SKOR!I27=0),SKOR!I$5,"")</f>
        <v>5</v>
      </c>
      <c r="Q64" s="70" t="str">
        <f aca="false">IF(AND(ISNUMBER(SKOR!J27),SKOR!J27=0),SKOR!J$5,"")</f>
        <v/>
      </c>
      <c r="R64" s="70" t="str">
        <f aca="false">IF(AND(ISNUMBER(SKOR!K27),SKOR!K27=0),SKOR!K$5,"")</f>
        <v/>
      </c>
      <c r="S64" s="70" t="str">
        <f aca="false">IF(AND(ISNUMBER(SKOR!L27),SKOR!L27=0),SKOR!L$5,"")</f>
        <v/>
      </c>
      <c r="T64" s="70" t="n">
        <f aca="false">IF(AND(ISNUMBER(SKOR!M27),SKOR!M27=0),SKOR!M$5,"")</f>
        <v>9</v>
      </c>
      <c r="U64" s="70" t="n">
        <f aca="false">IF(AND(ISNUMBER(SKOR!N27),SKOR!N27=0),SKOR!N$5,"")</f>
        <v>10</v>
      </c>
      <c r="V64" s="70" t="str">
        <f aca="false">IF(AND(ISNUMBER(SKOR!O27),SKOR!O27=0),SKOR!O$5,"")</f>
        <v/>
      </c>
      <c r="W64" s="70" t="str">
        <f aca="false">IF(AND(ISNUMBER(SKOR!P27),SKOR!P27=0),SKOR!P$5,"")</f>
        <v/>
      </c>
      <c r="X64" s="70" t="n">
        <f aca="false">IF(AND(ISNUMBER(SKOR!Q27),SKOR!Q27=0),SKOR!Q$5,"")</f>
        <v>13</v>
      </c>
      <c r="Y64" s="70" t="str">
        <f aca="false">IF(AND(ISNUMBER(SKOR!R27),SKOR!R27=0),SKOR!R$5,"")</f>
        <v/>
      </c>
      <c r="Z64" s="70" t="n">
        <f aca="false">IF(AND(ISNUMBER(SKOR!S27),SKOR!S27=0),SKOR!S$5,"")</f>
        <v>15</v>
      </c>
      <c r="AA64" s="70" t="str">
        <f aca="false">IF(AND(ISNUMBER(SKOR!T27),SKOR!T27=0),SKOR!T$5,"")</f>
        <v/>
      </c>
      <c r="AB64" s="70" t="n">
        <f aca="false">IF(AND(ISNUMBER(SKOR!U27),SKOR!U27=0),SKOR!U$5,"")</f>
        <v>17</v>
      </c>
      <c r="AC64" s="70" t="str">
        <f aca="false">IF(AND(ISNUMBER(SKOR!V27),SKOR!V27=0),SKOR!V$5,"")</f>
        <v/>
      </c>
      <c r="AD64" s="70" t="n">
        <f aca="false">IF(AND(ISNUMBER(SKOR!W27),SKOR!W27=0),SKOR!W$5,"")</f>
        <v>19</v>
      </c>
      <c r="AE64" s="70" t="str">
        <f aca="false">IF(AND(ISNUMBER(SKOR!X27),SKOR!X27=0),SKOR!X$5,"")</f>
        <v/>
      </c>
      <c r="AF64" s="70" t="n">
        <f aca="false">IF(AND(ISNUMBER(SKOR!Y27),SKOR!Y27=0),SKOR!Y$5,"")</f>
        <v>21</v>
      </c>
      <c r="AG64" s="70" t="str">
        <f aca="false">IF(AND(ISNUMBER(SKOR!Z27),SKOR!Z27=0),SKOR!Z$5,"")</f>
        <v/>
      </c>
      <c r="AH64" s="70" t="n">
        <f aca="false">IF(AND(ISNUMBER(SKOR!AA27),SKOR!AA27=0),SKOR!AA$5,"")</f>
        <v>23</v>
      </c>
      <c r="AI64" s="70" t="n">
        <f aca="false">IF(AND(ISNUMBER(SKOR!AB27),SKOR!AB27=0),SKOR!AB$5,"")</f>
        <v>24</v>
      </c>
      <c r="AJ64" s="70" t="str">
        <f aca="false">IF(AND(ISNUMBER(SKOR!AC27),SKOR!AC27=0),SKOR!AC$5,"")</f>
        <v/>
      </c>
      <c r="AK64" s="70" t="str">
        <f aca="false">IF(AND(ISNUMBER(SKOR!AD27),SKOR!AD27=0),SKOR!AD$5,"")</f>
        <v/>
      </c>
      <c r="AL64" s="70" t="str">
        <f aca="false">IF(AND(ISNUMBER(SKOR!AE27),SKOR!AE27=0),SKOR!AE$5,"")</f>
        <v/>
      </c>
      <c r="AM64" s="70" t="str">
        <f aca="false">IF(AND(ISNUMBER(SKOR!AF27),SKOR!AF27=0),SKOR!AF$5,"")</f>
        <v/>
      </c>
      <c r="AN64" s="70" t="str">
        <f aca="false">IF(AND(ISNUMBER(SKOR!AG27),SKOR!AG27=0),SKOR!AG$5,"")</f>
        <v/>
      </c>
      <c r="AO64" s="70" t="str">
        <f aca="false">IF(AND(ISNUMBER(SKOR!AH27),SKOR!AH27=0),SKOR!AH$5,"")</f>
        <v/>
      </c>
      <c r="AP64" s="70" t="n">
        <f aca="false">IF(AND(ISNUMBER(SKOR!AI27),SKOR!AI27=0),SKOR!AI$5,"")</f>
        <v>31</v>
      </c>
      <c r="AQ64" s="70" t="n">
        <f aca="false">IF(AND(ISNUMBER(SKOR!AJ27),SKOR!AJ27=0),SKOR!AJ$5,"")</f>
        <v>32</v>
      </c>
      <c r="AR64" s="70" t="str">
        <f aca="false">IF(AND(ISNUMBER(SKOR!AK27),SKOR!AK27=0),SKOR!AK$5,"")</f>
        <v/>
      </c>
      <c r="AS64" s="70" t="str">
        <f aca="false">IF(AND(ISNUMBER(SKOR!AL27),SKOR!AL27=0),SKOR!AL$5,"")</f>
        <v/>
      </c>
      <c r="AT64" s="70" t="str">
        <f aca="false">IF(AND(ISNUMBER(SKOR!AM27),SKOR!AM27=0),SKOR!AM$5,"")</f>
        <v/>
      </c>
      <c r="AU64" s="70" t="n">
        <f aca="false">IF(AND(ISNUMBER(SKOR!AN27),SKOR!AN27=0),SKOR!AN$5,"")</f>
        <v>36</v>
      </c>
      <c r="AV64" s="70" t="n">
        <f aca="false">IF(AND(ISNUMBER(SKOR!AO27),SKOR!AO27=0),SKOR!AO$5,"")</f>
        <v>37</v>
      </c>
      <c r="AW64" s="70" t="str">
        <f aca="false">IF(AND(ISNUMBER(SKOR!AP27),SKOR!AP27=0),SKOR!AP$5,"")</f>
        <v/>
      </c>
      <c r="AX64" s="70" t="n">
        <f aca="false">IF(AND(ISNUMBER(SKOR!AQ27),SKOR!AQ27=0),SKOR!AQ$5,"")</f>
        <v>39</v>
      </c>
      <c r="AY64" s="70" t="str">
        <f aca="false">IF(AND(ISNUMBER(SKOR!AR27),SKOR!AR27=0),SKOR!AR$5,"")</f>
        <v/>
      </c>
    </row>
    <row r="65" customFormat="false" ht="23.85" hidden="false" customHeight="false" outlineLevel="0" collapsed="false">
      <c r="A65" s="65" t="n">
        <f aca="false">NILAI!A28</f>
        <v>23</v>
      </c>
      <c r="B65" s="66" t="str">
        <f aca="false">NILAI!B28</f>
        <v>SISWA 23</v>
      </c>
      <c r="C65" s="65" t="str">
        <f aca="false">NILAI!C28</f>
        <v>IX G</v>
      </c>
      <c r="D65" s="56" t="n">
        <f aca="false">NILAI!F28</f>
        <v>62.5</v>
      </c>
      <c r="E65" s="67" t="n">
        <f aca="false">IF(D65="","",D65-NILAI_KKM)</f>
        <v>-12.5</v>
      </c>
      <c r="F65" s="68" t="str">
        <f aca="false">IF(D65="","",IF(D65&lt;NILAI_KKM,"Remedial","Pengayaan"))</f>
        <v>Remedial</v>
      </c>
      <c r="G65" s="66" t="str">
        <f aca="false">IF(F65="","",IF(F65="Remedial",IF(D65&lt;BATAS_INTENSIF,"Remedial intensif: pembelajaran ulang + tes ulang","Remedial terbimbing: bahas butir salah + tes ulang"),IF(NILAI!I28="Atas","Pengayaan lanjut: tutor sebaya + soal HOTS","Pengayaan dasar: pendalaman + proyek")))</f>
        <v>Remedial terbimbing: bahas butir salah + tes ulang</v>
      </c>
      <c r="H65" s="66" t="str">
        <f aca="false">IF(F65="","",IF(F65="Pengayaan","-",IF(_xlfn.TEXTJOIN(", ",TRUE(),$L65:$AY65)="","-",_xlfn.TEXTJOIN(", ",TRUE(),$L65:$AY65))))</f>
        <v>1, 3, 4, 5, 12, 16, 18, 19, 21, 25, 32, 33, 35, 36, 39</v>
      </c>
      <c r="I65" s="69"/>
      <c r="J65" s="65" t="str">
        <f aca="false">IF(OR(F65&lt;&gt;"Remedial",I65=""),"",IF(I65&gt;=NILAI_KKM,"Tuntas","Belum tuntas"))</f>
        <v/>
      </c>
      <c r="L65" s="70" t="n">
        <f aca="false">IF(AND(ISNUMBER(SKOR!E28),SKOR!E28=0),SKOR!E$5,"")</f>
        <v>1</v>
      </c>
      <c r="M65" s="70" t="str">
        <f aca="false">IF(AND(ISNUMBER(SKOR!F28),SKOR!F28=0),SKOR!F$5,"")</f>
        <v/>
      </c>
      <c r="N65" s="70" t="n">
        <f aca="false">IF(AND(ISNUMBER(SKOR!G28),SKOR!G28=0),SKOR!G$5,"")</f>
        <v>3</v>
      </c>
      <c r="O65" s="70" t="n">
        <f aca="false">IF(AND(ISNUMBER(SKOR!H28),SKOR!H28=0),SKOR!H$5,"")</f>
        <v>4</v>
      </c>
      <c r="P65" s="70" t="n">
        <f aca="false">IF(AND(ISNUMBER(SKOR!I28),SKOR!I28=0),SKOR!I$5,"")</f>
        <v>5</v>
      </c>
      <c r="Q65" s="70" t="str">
        <f aca="false">IF(AND(ISNUMBER(SKOR!J28),SKOR!J28=0),SKOR!J$5,"")</f>
        <v/>
      </c>
      <c r="R65" s="70" t="str">
        <f aca="false">IF(AND(ISNUMBER(SKOR!K28),SKOR!K28=0),SKOR!K$5,"")</f>
        <v/>
      </c>
      <c r="S65" s="70" t="str">
        <f aca="false">IF(AND(ISNUMBER(SKOR!L28),SKOR!L28=0),SKOR!L$5,"")</f>
        <v/>
      </c>
      <c r="T65" s="70" t="str">
        <f aca="false">IF(AND(ISNUMBER(SKOR!M28),SKOR!M28=0),SKOR!M$5,"")</f>
        <v/>
      </c>
      <c r="U65" s="70" t="str">
        <f aca="false">IF(AND(ISNUMBER(SKOR!N28),SKOR!N28=0),SKOR!N$5,"")</f>
        <v/>
      </c>
      <c r="V65" s="70" t="str">
        <f aca="false">IF(AND(ISNUMBER(SKOR!O28),SKOR!O28=0),SKOR!O$5,"")</f>
        <v/>
      </c>
      <c r="W65" s="70" t="n">
        <f aca="false">IF(AND(ISNUMBER(SKOR!P28),SKOR!P28=0),SKOR!P$5,"")</f>
        <v>12</v>
      </c>
      <c r="X65" s="70" t="str">
        <f aca="false">IF(AND(ISNUMBER(SKOR!Q28),SKOR!Q28=0),SKOR!Q$5,"")</f>
        <v/>
      </c>
      <c r="Y65" s="70" t="str">
        <f aca="false">IF(AND(ISNUMBER(SKOR!R28),SKOR!R28=0),SKOR!R$5,"")</f>
        <v/>
      </c>
      <c r="Z65" s="70" t="str">
        <f aca="false">IF(AND(ISNUMBER(SKOR!S28),SKOR!S28=0),SKOR!S$5,"")</f>
        <v/>
      </c>
      <c r="AA65" s="70" t="n">
        <f aca="false">IF(AND(ISNUMBER(SKOR!T28),SKOR!T28=0),SKOR!T$5,"")</f>
        <v>16</v>
      </c>
      <c r="AB65" s="70" t="str">
        <f aca="false">IF(AND(ISNUMBER(SKOR!U28),SKOR!U28=0),SKOR!U$5,"")</f>
        <v/>
      </c>
      <c r="AC65" s="70" t="n">
        <f aca="false">IF(AND(ISNUMBER(SKOR!V28),SKOR!V28=0),SKOR!V$5,"")</f>
        <v>18</v>
      </c>
      <c r="AD65" s="70" t="n">
        <f aca="false">IF(AND(ISNUMBER(SKOR!W28),SKOR!W28=0),SKOR!W$5,"")</f>
        <v>19</v>
      </c>
      <c r="AE65" s="70" t="str">
        <f aca="false">IF(AND(ISNUMBER(SKOR!X28),SKOR!X28=0),SKOR!X$5,"")</f>
        <v/>
      </c>
      <c r="AF65" s="70" t="n">
        <f aca="false">IF(AND(ISNUMBER(SKOR!Y28),SKOR!Y28=0),SKOR!Y$5,"")</f>
        <v>21</v>
      </c>
      <c r="AG65" s="70" t="str">
        <f aca="false">IF(AND(ISNUMBER(SKOR!Z28),SKOR!Z28=0),SKOR!Z$5,"")</f>
        <v/>
      </c>
      <c r="AH65" s="70" t="str">
        <f aca="false">IF(AND(ISNUMBER(SKOR!AA28),SKOR!AA28=0),SKOR!AA$5,"")</f>
        <v/>
      </c>
      <c r="AI65" s="70" t="str">
        <f aca="false">IF(AND(ISNUMBER(SKOR!AB28),SKOR!AB28=0),SKOR!AB$5,"")</f>
        <v/>
      </c>
      <c r="AJ65" s="70" t="n">
        <f aca="false">IF(AND(ISNUMBER(SKOR!AC28),SKOR!AC28=0),SKOR!AC$5,"")</f>
        <v>25</v>
      </c>
      <c r="AK65" s="70" t="str">
        <f aca="false">IF(AND(ISNUMBER(SKOR!AD28),SKOR!AD28=0),SKOR!AD$5,"")</f>
        <v/>
      </c>
      <c r="AL65" s="70" t="str">
        <f aca="false">IF(AND(ISNUMBER(SKOR!AE28),SKOR!AE28=0),SKOR!AE$5,"")</f>
        <v/>
      </c>
      <c r="AM65" s="70" t="str">
        <f aca="false">IF(AND(ISNUMBER(SKOR!AF28),SKOR!AF28=0),SKOR!AF$5,"")</f>
        <v/>
      </c>
      <c r="AN65" s="70" t="str">
        <f aca="false">IF(AND(ISNUMBER(SKOR!AG28),SKOR!AG28=0),SKOR!AG$5,"")</f>
        <v/>
      </c>
      <c r="AO65" s="70" t="str">
        <f aca="false">IF(AND(ISNUMBER(SKOR!AH28),SKOR!AH28=0),SKOR!AH$5,"")</f>
        <v/>
      </c>
      <c r="AP65" s="70" t="str">
        <f aca="false">IF(AND(ISNUMBER(SKOR!AI28),SKOR!AI28=0),SKOR!AI$5,"")</f>
        <v/>
      </c>
      <c r="AQ65" s="70" t="n">
        <f aca="false">IF(AND(ISNUMBER(SKOR!AJ28),SKOR!AJ28=0),SKOR!AJ$5,"")</f>
        <v>32</v>
      </c>
      <c r="AR65" s="70" t="n">
        <f aca="false">IF(AND(ISNUMBER(SKOR!AK28),SKOR!AK28=0),SKOR!AK$5,"")</f>
        <v>33</v>
      </c>
      <c r="AS65" s="70" t="str">
        <f aca="false">IF(AND(ISNUMBER(SKOR!AL28),SKOR!AL28=0),SKOR!AL$5,"")</f>
        <v/>
      </c>
      <c r="AT65" s="70" t="n">
        <f aca="false">IF(AND(ISNUMBER(SKOR!AM28),SKOR!AM28=0),SKOR!AM$5,"")</f>
        <v>35</v>
      </c>
      <c r="AU65" s="70" t="n">
        <f aca="false">IF(AND(ISNUMBER(SKOR!AN28),SKOR!AN28=0),SKOR!AN$5,"")</f>
        <v>36</v>
      </c>
      <c r="AV65" s="70" t="str">
        <f aca="false">IF(AND(ISNUMBER(SKOR!AO28),SKOR!AO28=0),SKOR!AO$5,"")</f>
        <v/>
      </c>
      <c r="AW65" s="70" t="str">
        <f aca="false">IF(AND(ISNUMBER(SKOR!AP28),SKOR!AP28=0),SKOR!AP$5,"")</f>
        <v/>
      </c>
      <c r="AX65" s="70" t="n">
        <f aca="false">IF(AND(ISNUMBER(SKOR!AQ28),SKOR!AQ28=0),SKOR!AQ$5,"")</f>
        <v>39</v>
      </c>
      <c r="AY65" s="70" t="str">
        <f aca="false">IF(AND(ISNUMBER(SKOR!AR28),SKOR!AR28=0),SKOR!AR$5,"")</f>
        <v/>
      </c>
    </row>
    <row r="66" customFormat="false" ht="24.75" hidden="false" customHeight="true" outlineLevel="0" collapsed="false">
      <c r="A66" s="65" t="n">
        <f aca="false">NILAI!A29</f>
        <v>24</v>
      </c>
      <c r="B66" s="66" t="str">
        <f aca="false">NILAI!B29</f>
        <v>SISWA 24</v>
      </c>
      <c r="C66" s="65" t="str">
        <f aca="false">NILAI!C29</f>
        <v>IX G</v>
      </c>
      <c r="D66" s="56" t="n">
        <f aca="false">NILAI!F29</f>
        <v>42.5</v>
      </c>
      <c r="E66" s="67" t="n">
        <f aca="false">IF(D66="","",D66-NILAI_KKM)</f>
        <v>-32.5</v>
      </c>
      <c r="F66" s="68" t="str">
        <f aca="false">IF(D66="","",IF(D66&lt;NILAI_KKM,"Remedial","Pengayaan"))</f>
        <v>Remedial</v>
      </c>
      <c r="G66" s="66" t="str">
        <f aca="false">IF(F66="","",IF(F66="Remedial",IF(D66&lt;BATAS_INTENSIF,"Remedial intensif: pembelajaran ulang + tes ulang","Remedial terbimbing: bahas butir salah + tes ulang"),IF(NILAI!I29="Atas","Pengayaan lanjut: tutor sebaya + soal HOTS","Pengayaan dasar: pendalaman + proyek")))</f>
        <v>Remedial intensif: pembelajaran ulang + tes ulang</v>
      </c>
      <c r="H66" s="66" t="str">
        <f aca="false">IF(F66="","",IF(F66="Pengayaan","-",IF(_xlfn.TEXTJOIN(", ",TRUE(),$L66:$AY66)="","-",_xlfn.TEXTJOIN(", ",TRUE(),$L66:$AY66))))</f>
        <v>1, 2, 5, 6, 8, 9, 10, 12, 13, 15, 18, 20, 21, 24, 25, 30, 31, 32, 33, 34, 36, 38, 40</v>
      </c>
      <c r="I66" s="69"/>
      <c r="J66" s="65" t="str">
        <f aca="false">IF(OR(F66&lt;&gt;"Remedial",I66=""),"",IF(I66&gt;=NILAI_KKM,"Tuntas","Belum tuntas"))</f>
        <v/>
      </c>
      <c r="L66" s="70" t="n">
        <f aca="false">IF(AND(ISNUMBER(SKOR!E29),SKOR!E29=0),SKOR!E$5,"")</f>
        <v>1</v>
      </c>
      <c r="M66" s="70" t="n">
        <f aca="false">IF(AND(ISNUMBER(SKOR!F29),SKOR!F29=0),SKOR!F$5,"")</f>
        <v>2</v>
      </c>
      <c r="N66" s="70" t="str">
        <f aca="false">IF(AND(ISNUMBER(SKOR!G29),SKOR!G29=0),SKOR!G$5,"")</f>
        <v/>
      </c>
      <c r="O66" s="70" t="str">
        <f aca="false">IF(AND(ISNUMBER(SKOR!H29),SKOR!H29=0),SKOR!H$5,"")</f>
        <v/>
      </c>
      <c r="P66" s="70" t="n">
        <f aca="false">IF(AND(ISNUMBER(SKOR!I29),SKOR!I29=0),SKOR!I$5,"")</f>
        <v>5</v>
      </c>
      <c r="Q66" s="70" t="n">
        <f aca="false">IF(AND(ISNUMBER(SKOR!J29),SKOR!J29=0),SKOR!J$5,"")</f>
        <v>6</v>
      </c>
      <c r="R66" s="70" t="str">
        <f aca="false">IF(AND(ISNUMBER(SKOR!K29),SKOR!K29=0),SKOR!K$5,"")</f>
        <v/>
      </c>
      <c r="S66" s="70" t="n">
        <f aca="false">IF(AND(ISNUMBER(SKOR!L29),SKOR!L29=0),SKOR!L$5,"")</f>
        <v>8</v>
      </c>
      <c r="T66" s="70" t="n">
        <f aca="false">IF(AND(ISNUMBER(SKOR!M29),SKOR!M29=0),SKOR!M$5,"")</f>
        <v>9</v>
      </c>
      <c r="U66" s="70" t="n">
        <f aca="false">IF(AND(ISNUMBER(SKOR!N29),SKOR!N29=0),SKOR!N$5,"")</f>
        <v>10</v>
      </c>
      <c r="V66" s="70" t="str">
        <f aca="false">IF(AND(ISNUMBER(SKOR!O29),SKOR!O29=0),SKOR!O$5,"")</f>
        <v/>
      </c>
      <c r="W66" s="70" t="n">
        <f aca="false">IF(AND(ISNUMBER(SKOR!P29),SKOR!P29=0),SKOR!P$5,"")</f>
        <v>12</v>
      </c>
      <c r="X66" s="70" t="n">
        <f aca="false">IF(AND(ISNUMBER(SKOR!Q29),SKOR!Q29=0),SKOR!Q$5,"")</f>
        <v>13</v>
      </c>
      <c r="Y66" s="70" t="str">
        <f aca="false">IF(AND(ISNUMBER(SKOR!R29),SKOR!R29=0),SKOR!R$5,"")</f>
        <v/>
      </c>
      <c r="Z66" s="70" t="n">
        <f aca="false">IF(AND(ISNUMBER(SKOR!S29),SKOR!S29=0),SKOR!S$5,"")</f>
        <v>15</v>
      </c>
      <c r="AA66" s="70" t="str">
        <f aca="false">IF(AND(ISNUMBER(SKOR!T29),SKOR!T29=0),SKOR!T$5,"")</f>
        <v/>
      </c>
      <c r="AB66" s="70" t="str">
        <f aca="false">IF(AND(ISNUMBER(SKOR!U29),SKOR!U29=0),SKOR!U$5,"")</f>
        <v/>
      </c>
      <c r="AC66" s="70" t="n">
        <f aca="false">IF(AND(ISNUMBER(SKOR!V29),SKOR!V29=0),SKOR!V$5,"")</f>
        <v>18</v>
      </c>
      <c r="AD66" s="70" t="str">
        <f aca="false">IF(AND(ISNUMBER(SKOR!W29),SKOR!W29=0),SKOR!W$5,"")</f>
        <v/>
      </c>
      <c r="AE66" s="70" t="n">
        <f aca="false">IF(AND(ISNUMBER(SKOR!X29),SKOR!X29=0),SKOR!X$5,"")</f>
        <v>20</v>
      </c>
      <c r="AF66" s="70" t="n">
        <f aca="false">IF(AND(ISNUMBER(SKOR!Y29),SKOR!Y29=0),SKOR!Y$5,"")</f>
        <v>21</v>
      </c>
      <c r="AG66" s="70" t="str">
        <f aca="false">IF(AND(ISNUMBER(SKOR!Z29),SKOR!Z29=0),SKOR!Z$5,"")</f>
        <v/>
      </c>
      <c r="AH66" s="70" t="str">
        <f aca="false">IF(AND(ISNUMBER(SKOR!AA29),SKOR!AA29=0),SKOR!AA$5,"")</f>
        <v/>
      </c>
      <c r="AI66" s="70" t="n">
        <f aca="false">IF(AND(ISNUMBER(SKOR!AB29),SKOR!AB29=0),SKOR!AB$5,"")</f>
        <v>24</v>
      </c>
      <c r="AJ66" s="70" t="n">
        <f aca="false">IF(AND(ISNUMBER(SKOR!AC29),SKOR!AC29=0),SKOR!AC$5,"")</f>
        <v>25</v>
      </c>
      <c r="AK66" s="70" t="str">
        <f aca="false">IF(AND(ISNUMBER(SKOR!AD29),SKOR!AD29=0),SKOR!AD$5,"")</f>
        <v/>
      </c>
      <c r="AL66" s="70" t="str">
        <f aca="false">IF(AND(ISNUMBER(SKOR!AE29),SKOR!AE29=0),SKOR!AE$5,"")</f>
        <v/>
      </c>
      <c r="AM66" s="70" t="str">
        <f aca="false">IF(AND(ISNUMBER(SKOR!AF29),SKOR!AF29=0),SKOR!AF$5,"")</f>
        <v/>
      </c>
      <c r="AN66" s="70" t="str">
        <f aca="false">IF(AND(ISNUMBER(SKOR!AG29),SKOR!AG29=0),SKOR!AG$5,"")</f>
        <v/>
      </c>
      <c r="AO66" s="70" t="n">
        <f aca="false">IF(AND(ISNUMBER(SKOR!AH29),SKOR!AH29=0),SKOR!AH$5,"")</f>
        <v>30</v>
      </c>
      <c r="AP66" s="70" t="n">
        <f aca="false">IF(AND(ISNUMBER(SKOR!AI29),SKOR!AI29=0),SKOR!AI$5,"")</f>
        <v>31</v>
      </c>
      <c r="AQ66" s="70" t="n">
        <f aca="false">IF(AND(ISNUMBER(SKOR!AJ29),SKOR!AJ29=0),SKOR!AJ$5,"")</f>
        <v>32</v>
      </c>
      <c r="AR66" s="70" t="n">
        <f aca="false">IF(AND(ISNUMBER(SKOR!AK29),SKOR!AK29=0),SKOR!AK$5,"")</f>
        <v>33</v>
      </c>
      <c r="AS66" s="70" t="n">
        <f aca="false">IF(AND(ISNUMBER(SKOR!AL29),SKOR!AL29=0),SKOR!AL$5,"")</f>
        <v>34</v>
      </c>
      <c r="AT66" s="70" t="str">
        <f aca="false">IF(AND(ISNUMBER(SKOR!AM29),SKOR!AM29=0),SKOR!AM$5,"")</f>
        <v/>
      </c>
      <c r="AU66" s="70" t="n">
        <f aca="false">IF(AND(ISNUMBER(SKOR!AN29),SKOR!AN29=0),SKOR!AN$5,"")</f>
        <v>36</v>
      </c>
      <c r="AV66" s="70" t="str">
        <f aca="false">IF(AND(ISNUMBER(SKOR!AO29),SKOR!AO29=0),SKOR!AO$5,"")</f>
        <v/>
      </c>
      <c r="AW66" s="70" t="n">
        <f aca="false">IF(AND(ISNUMBER(SKOR!AP29),SKOR!AP29=0),SKOR!AP$5,"")</f>
        <v>38</v>
      </c>
      <c r="AX66" s="70" t="str">
        <f aca="false">IF(AND(ISNUMBER(SKOR!AQ29),SKOR!AQ29=0),SKOR!AQ$5,"")</f>
        <v/>
      </c>
      <c r="AY66" s="70" t="n">
        <f aca="false">IF(AND(ISNUMBER(SKOR!AR29),SKOR!AR29=0),SKOR!AR$5,"")</f>
        <v>40</v>
      </c>
    </row>
    <row r="67" customFormat="false" ht="14.25" hidden="false" customHeight="false" outlineLevel="0" collapsed="false">
      <c r="A67" s="65" t="n">
        <f aca="false">NILAI!A30</f>
        <v>25</v>
      </c>
      <c r="B67" s="66" t="str">
        <f aca="false">NILAI!B30</f>
        <v>SISWA 25</v>
      </c>
      <c r="C67" s="65" t="str">
        <f aca="false">NILAI!C30</f>
        <v>IX G</v>
      </c>
      <c r="D67" s="56" t="n">
        <f aca="false">NILAI!F30</f>
        <v>72.5</v>
      </c>
      <c r="E67" s="67" t="n">
        <f aca="false">IF(D67="","",D67-NILAI_KKM)</f>
        <v>-2.5</v>
      </c>
      <c r="F67" s="68" t="str">
        <f aca="false">IF(D67="","",IF(D67&lt;NILAI_KKM,"Remedial","Pengayaan"))</f>
        <v>Remedial</v>
      </c>
      <c r="G67" s="66" t="str">
        <f aca="false">IF(F67="","",IF(F67="Remedial",IF(D67&lt;BATAS_INTENSIF,"Remedial intensif: pembelajaran ulang + tes ulang","Remedial terbimbing: bahas butir salah + tes ulang"),IF(NILAI!I30="Atas","Pengayaan lanjut: tutor sebaya + soal HOTS","Pengayaan dasar: pendalaman + proyek")))</f>
        <v>Remedial terbimbing: bahas butir salah + tes ulang</v>
      </c>
      <c r="H67" s="66" t="str">
        <f aca="false">IF(F67="","",IF(F67="Pengayaan","-",IF(_xlfn.TEXTJOIN(", ",TRUE(),$L67:$AY67)="","-",_xlfn.TEXTJOIN(", ",TRUE(),$L67:$AY67))))</f>
        <v>1, 2, 7, 12, 15, 16, 19, 33, 34, 35, 40</v>
      </c>
      <c r="I67" s="69"/>
      <c r="J67" s="65" t="str">
        <f aca="false">IF(OR(F67&lt;&gt;"Remedial",I67=""),"",IF(I67&gt;=NILAI_KKM,"Tuntas","Belum tuntas"))</f>
        <v/>
      </c>
      <c r="L67" s="70" t="n">
        <f aca="false">IF(AND(ISNUMBER(SKOR!E30),SKOR!E30=0),SKOR!E$5,"")</f>
        <v>1</v>
      </c>
      <c r="M67" s="70" t="n">
        <f aca="false">IF(AND(ISNUMBER(SKOR!F30),SKOR!F30=0),SKOR!F$5,"")</f>
        <v>2</v>
      </c>
      <c r="N67" s="70" t="str">
        <f aca="false">IF(AND(ISNUMBER(SKOR!G30),SKOR!G30=0),SKOR!G$5,"")</f>
        <v/>
      </c>
      <c r="O67" s="70" t="str">
        <f aca="false">IF(AND(ISNUMBER(SKOR!H30),SKOR!H30=0),SKOR!H$5,"")</f>
        <v/>
      </c>
      <c r="P67" s="70" t="str">
        <f aca="false">IF(AND(ISNUMBER(SKOR!I30),SKOR!I30=0),SKOR!I$5,"")</f>
        <v/>
      </c>
      <c r="Q67" s="70" t="str">
        <f aca="false">IF(AND(ISNUMBER(SKOR!J30),SKOR!J30=0),SKOR!J$5,"")</f>
        <v/>
      </c>
      <c r="R67" s="70" t="n">
        <f aca="false">IF(AND(ISNUMBER(SKOR!K30),SKOR!K30=0),SKOR!K$5,"")</f>
        <v>7</v>
      </c>
      <c r="S67" s="70" t="str">
        <f aca="false">IF(AND(ISNUMBER(SKOR!L30),SKOR!L30=0),SKOR!L$5,"")</f>
        <v/>
      </c>
      <c r="T67" s="70" t="str">
        <f aca="false">IF(AND(ISNUMBER(SKOR!M30),SKOR!M30=0),SKOR!M$5,"")</f>
        <v/>
      </c>
      <c r="U67" s="70" t="str">
        <f aca="false">IF(AND(ISNUMBER(SKOR!N30),SKOR!N30=0),SKOR!N$5,"")</f>
        <v/>
      </c>
      <c r="V67" s="70" t="str">
        <f aca="false">IF(AND(ISNUMBER(SKOR!O30),SKOR!O30=0),SKOR!O$5,"")</f>
        <v/>
      </c>
      <c r="W67" s="70" t="n">
        <f aca="false">IF(AND(ISNUMBER(SKOR!P30),SKOR!P30=0),SKOR!P$5,"")</f>
        <v>12</v>
      </c>
      <c r="X67" s="70" t="str">
        <f aca="false">IF(AND(ISNUMBER(SKOR!Q30),SKOR!Q30=0),SKOR!Q$5,"")</f>
        <v/>
      </c>
      <c r="Y67" s="70" t="str">
        <f aca="false">IF(AND(ISNUMBER(SKOR!R30),SKOR!R30=0),SKOR!R$5,"")</f>
        <v/>
      </c>
      <c r="Z67" s="70" t="n">
        <f aca="false">IF(AND(ISNUMBER(SKOR!S30),SKOR!S30=0),SKOR!S$5,"")</f>
        <v>15</v>
      </c>
      <c r="AA67" s="70" t="n">
        <f aca="false">IF(AND(ISNUMBER(SKOR!T30),SKOR!T30=0),SKOR!T$5,"")</f>
        <v>16</v>
      </c>
      <c r="AB67" s="70" t="str">
        <f aca="false">IF(AND(ISNUMBER(SKOR!U30),SKOR!U30=0),SKOR!U$5,"")</f>
        <v/>
      </c>
      <c r="AC67" s="70" t="str">
        <f aca="false">IF(AND(ISNUMBER(SKOR!V30),SKOR!V30=0),SKOR!V$5,"")</f>
        <v/>
      </c>
      <c r="AD67" s="70" t="n">
        <f aca="false">IF(AND(ISNUMBER(SKOR!W30),SKOR!W30=0),SKOR!W$5,"")</f>
        <v>19</v>
      </c>
      <c r="AE67" s="70" t="str">
        <f aca="false">IF(AND(ISNUMBER(SKOR!X30),SKOR!X30=0),SKOR!X$5,"")</f>
        <v/>
      </c>
      <c r="AF67" s="70" t="str">
        <f aca="false">IF(AND(ISNUMBER(SKOR!Y30),SKOR!Y30=0),SKOR!Y$5,"")</f>
        <v/>
      </c>
      <c r="AG67" s="70" t="str">
        <f aca="false">IF(AND(ISNUMBER(SKOR!Z30),SKOR!Z30=0),SKOR!Z$5,"")</f>
        <v/>
      </c>
      <c r="AH67" s="70" t="str">
        <f aca="false">IF(AND(ISNUMBER(SKOR!AA30),SKOR!AA30=0),SKOR!AA$5,"")</f>
        <v/>
      </c>
      <c r="AI67" s="70" t="str">
        <f aca="false">IF(AND(ISNUMBER(SKOR!AB30),SKOR!AB30=0),SKOR!AB$5,"")</f>
        <v/>
      </c>
      <c r="AJ67" s="70" t="str">
        <f aca="false">IF(AND(ISNUMBER(SKOR!AC30),SKOR!AC30=0),SKOR!AC$5,"")</f>
        <v/>
      </c>
      <c r="AK67" s="70" t="str">
        <f aca="false">IF(AND(ISNUMBER(SKOR!AD30),SKOR!AD30=0),SKOR!AD$5,"")</f>
        <v/>
      </c>
      <c r="AL67" s="70" t="str">
        <f aca="false">IF(AND(ISNUMBER(SKOR!AE30),SKOR!AE30=0),SKOR!AE$5,"")</f>
        <v/>
      </c>
      <c r="AM67" s="70" t="str">
        <f aca="false">IF(AND(ISNUMBER(SKOR!AF30),SKOR!AF30=0),SKOR!AF$5,"")</f>
        <v/>
      </c>
      <c r="AN67" s="70" t="str">
        <f aca="false">IF(AND(ISNUMBER(SKOR!AG30),SKOR!AG30=0),SKOR!AG$5,"")</f>
        <v/>
      </c>
      <c r="AO67" s="70" t="str">
        <f aca="false">IF(AND(ISNUMBER(SKOR!AH30),SKOR!AH30=0),SKOR!AH$5,"")</f>
        <v/>
      </c>
      <c r="AP67" s="70" t="str">
        <f aca="false">IF(AND(ISNUMBER(SKOR!AI30),SKOR!AI30=0),SKOR!AI$5,"")</f>
        <v/>
      </c>
      <c r="AQ67" s="70" t="str">
        <f aca="false">IF(AND(ISNUMBER(SKOR!AJ30),SKOR!AJ30=0),SKOR!AJ$5,"")</f>
        <v/>
      </c>
      <c r="AR67" s="70" t="n">
        <f aca="false">IF(AND(ISNUMBER(SKOR!AK30),SKOR!AK30=0),SKOR!AK$5,"")</f>
        <v>33</v>
      </c>
      <c r="AS67" s="70" t="n">
        <f aca="false">IF(AND(ISNUMBER(SKOR!AL30),SKOR!AL30=0),SKOR!AL$5,"")</f>
        <v>34</v>
      </c>
      <c r="AT67" s="70" t="n">
        <f aca="false">IF(AND(ISNUMBER(SKOR!AM30),SKOR!AM30=0),SKOR!AM$5,"")</f>
        <v>35</v>
      </c>
      <c r="AU67" s="70" t="str">
        <f aca="false">IF(AND(ISNUMBER(SKOR!AN30),SKOR!AN30=0),SKOR!AN$5,"")</f>
        <v/>
      </c>
      <c r="AV67" s="70" t="str">
        <f aca="false">IF(AND(ISNUMBER(SKOR!AO30),SKOR!AO30=0),SKOR!AO$5,"")</f>
        <v/>
      </c>
      <c r="AW67" s="70" t="str">
        <f aca="false">IF(AND(ISNUMBER(SKOR!AP30),SKOR!AP30=0),SKOR!AP$5,"")</f>
        <v/>
      </c>
      <c r="AX67" s="70" t="str">
        <f aca="false">IF(AND(ISNUMBER(SKOR!AQ30),SKOR!AQ30=0),SKOR!AQ$5,"")</f>
        <v/>
      </c>
      <c r="AY67" s="70" t="n">
        <f aca="false">IF(AND(ISNUMBER(SKOR!AR30),SKOR!AR30=0),SKOR!AR$5,"")</f>
        <v>40</v>
      </c>
    </row>
    <row r="68" customFormat="false" ht="37.5" hidden="false" customHeight="true" outlineLevel="0" collapsed="false">
      <c r="A68" s="65" t="n">
        <f aca="false">NILAI!A31</f>
        <v>26</v>
      </c>
      <c r="B68" s="66" t="str">
        <f aca="false">NILAI!B31</f>
        <v>SISWA 26</v>
      </c>
      <c r="C68" s="65" t="str">
        <f aca="false">NILAI!C31</f>
        <v>IX G</v>
      </c>
      <c r="D68" s="56" t="n">
        <f aca="false">NILAI!F31</f>
        <v>40</v>
      </c>
      <c r="E68" s="67" t="n">
        <f aca="false">IF(D68="","",D68-NILAI_KKM)</f>
        <v>-35</v>
      </c>
      <c r="F68" s="68" t="str">
        <f aca="false">IF(D68="","",IF(D68&lt;NILAI_KKM,"Remedial","Pengayaan"))</f>
        <v>Remedial</v>
      </c>
      <c r="G68" s="66" t="str">
        <f aca="false">IF(F68="","",IF(F68="Remedial",IF(D68&lt;BATAS_INTENSIF,"Remedial intensif: pembelajaran ulang + tes ulang","Remedial terbimbing: bahas butir salah + tes ulang"),IF(NILAI!I31="Atas","Pengayaan lanjut: tutor sebaya + soal HOTS","Pengayaan dasar: pendalaman + proyek")))</f>
        <v>Remedial intensif: pembelajaran ulang + tes ulang</v>
      </c>
      <c r="H68" s="66" t="str">
        <f aca="false">IF(F68="","",IF(F68="Pengayaan","-",IF(_xlfn.TEXTJOIN(", ",TRUE(),$L68:$AY68)="","-",_xlfn.TEXTJOIN(", ",TRUE(),$L68:$AY68))))</f>
        <v>6, 7, 9, 10, 12, 14, 15, 16, 17, 19, 20, 21, 22, 24, 26, 27, 28, 29, 31, 33, 34, 35, 36, 38</v>
      </c>
      <c r="I68" s="69"/>
      <c r="J68" s="65" t="str">
        <f aca="false">IF(OR(F68&lt;&gt;"Remedial",I68=""),"",IF(I68&gt;=NILAI_KKM,"Tuntas","Belum tuntas"))</f>
        <v/>
      </c>
      <c r="L68" s="70" t="str">
        <f aca="false">IF(AND(ISNUMBER(SKOR!E31),SKOR!E31=0),SKOR!E$5,"")</f>
        <v/>
      </c>
      <c r="M68" s="70" t="str">
        <f aca="false">IF(AND(ISNUMBER(SKOR!F31),SKOR!F31=0),SKOR!F$5,"")</f>
        <v/>
      </c>
      <c r="N68" s="70" t="str">
        <f aca="false">IF(AND(ISNUMBER(SKOR!G31),SKOR!G31=0),SKOR!G$5,"")</f>
        <v/>
      </c>
      <c r="O68" s="70" t="str">
        <f aca="false">IF(AND(ISNUMBER(SKOR!H31),SKOR!H31=0),SKOR!H$5,"")</f>
        <v/>
      </c>
      <c r="P68" s="70" t="str">
        <f aca="false">IF(AND(ISNUMBER(SKOR!I31),SKOR!I31=0),SKOR!I$5,"")</f>
        <v/>
      </c>
      <c r="Q68" s="70" t="n">
        <f aca="false">IF(AND(ISNUMBER(SKOR!J31),SKOR!J31=0),SKOR!J$5,"")</f>
        <v>6</v>
      </c>
      <c r="R68" s="70" t="n">
        <f aca="false">IF(AND(ISNUMBER(SKOR!K31),SKOR!K31=0),SKOR!K$5,"")</f>
        <v>7</v>
      </c>
      <c r="S68" s="70" t="str">
        <f aca="false">IF(AND(ISNUMBER(SKOR!L31),SKOR!L31=0),SKOR!L$5,"")</f>
        <v/>
      </c>
      <c r="T68" s="70" t="n">
        <f aca="false">IF(AND(ISNUMBER(SKOR!M31),SKOR!M31=0),SKOR!M$5,"")</f>
        <v>9</v>
      </c>
      <c r="U68" s="70" t="n">
        <f aca="false">IF(AND(ISNUMBER(SKOR!N31),SKOR!N31=0),SKOR!N$5,"")</f>
        <v>10</v>
      </c>
      <c r="V68" s="70" t="str">
        <f aca="false">IF(AND(ISNUMBER(SKOR!O31),SKOR!O31=0),SKOR!O$5,"")</f>
        <v/>
      </c>
      <c r="W68" s="70" t="n">
        <f aca="false">IF(AND(ISNUMBER(SKOR!P31),SKOR!P31=0),SKOR!P$5,"")</f>
        <v>12</v>
      </c>
      <c r="X68" s="70" t="str">
        <f aca="false">IF(AND(ISNUMBER(SKOR!Q31),SKOR!Q31=0),SKOR!Q$5,"")</f>
        <v/>
      </c>
      <c r="Y68" s="70" t="n">
        <f aca="false">IF(AND(ISNUMBER(SKOR!R31),SKOR!R31=0),SKOR!R$5,"")</f>
        <v>14</v>
      </c>
      <c r="Z68" s="70" t="n">
        <f aca="false">IF(AND(ISNUMBER(SKOR!S31),SKOR!S31=0),SKOR!S$5,"")</f>
        <v>15</v>
      </c>
      <c r="AA68" s="70" t="n">
        <f aca="false">IF(AND(ISNUMBER(SKOR!T31),SKOR!T31=0),SKOR!T$5,"")</f>
        <v>16</v>
      </c>
      <c r="AB68" s="70" t="n">
        <f aca="false">IF(AND(ISNUMBER(SKOR!U31),SKOR!U31=0),SKOR!U$5,"")</f>
        <v>17</v>
      </c>
      <c r="AC68" s="70" t="str">
        <f aca="false">IF(AND(ISNUMBER(SKOR!V31),SKOR!V31=0),SKOR!V$5,"")</f>
        <v/>
      </c>
      <c r="AD68" s="70" t="n">
        <f aca="false">IF(AND(ISNUMBER(SKOR!W31),SKOR!W31=0),SKOR!W$5,"")</f>
        <v>19</v>
      </c>
      <c r="AE68" s="70" t="n">
        <f aca="false">IF(AND(ISNUMBER(SKOR!X31),SKOR!X31=0),SKOR!X$5,"")</f>
        <v>20</v>
      </c>
      <c r="AF68" s="70" t="n">
        <f aca="false">IF(AND(ISNUMBER(SKOR!Y31),SKOR!Y31=0),SKOR!Y$5,"")</f>
        <v>21</v>
      </c>
      <c r="AG68" s="70" t="n">
        <f aca="false">IF(AND(ISNUMBER(SKOR!Z31),SKOR!Z31=0),SKOR!Z$5,"")</f>
        <v>22</v>
      </c>
      <c r="AH68" s="70" t="str">
        <f aca="false">IF(AND(ISNUMBER(SKOR!AA31),SKOR!AA31=0),SKOR!AA$5,"")</f>
        <v/>
      </c>
      <c r="AI68" s="70" t="n">
        <f aca="false">IF(AND(ISNUMBER(SKOR!AB31),SKOR!AB31=0),SKOR!AB$5,"")</f>
        <v>24</v>
      </c>
      <c r="AJ68" s="70" t="str">
        <f aca="false">IF(AND(ISNUMBER(SKOR!AC31),SKOR!AC31=0),SKOR!AC$5,"")</f>
        <v/>
      </c>
      <c r="AK68" s="70" t="n">
        <f aca="false">IF(AND(ISNUMBER(SKOR!AD31),SKOR!AD31=0),SKOR!AD$5,"")</f>
        <v>26</v>
      </c>
      <c r="AL68" s="70" t="n">
        <f aca="false">IF(AND(ISNUMBER(SKOR!AE31),SKOR!AE31=0),SKOR!AE$5,"")</f>
        <v>27</v>
      </c>
      <c r="AM68" s="70" t="n">
        <f aca="false">IF(AND(ISNUMBER(SKOR!AF31),SKOR!AF31=0),SKOR!AF$5,"")</f>
        <v>28</v>
      </c>
      <c r="AN68" s="70" t="n">
        <f aca="false">IF(AND(ISNUMBER(SKOR!AG31),SKOR!AG31=0),SKOR!AG$5,"")</f>
        <v>29</v>
      </c>
      <c r="AO68" s="70" t="str">
        <f aca="false">IF(AND(ISNUMBER(SKOR!AH31),SKOR!AH31=0),SKOR!AH$5,"")</f>
        <v/>
      </c>
      <c r="AP68" s="70" t="n">
        <f aca="false">IF(AND(ISNUMBER(SKOR!AI31),SKOR!AI31=0),SKOR!AI$5,"")</f>
        <v>31</v>
      </c>
      <c r="AQ68" s="70" t="str">
        <f aca="false">IF(AND(ISNUMBER(SKOR!AJ31),SKOR!AJ31=0),SKOR!AJ$5,"")</f>
        <v/>
      </c>
      <c r="AR68" s="70" t="n">
        <f aca="false">IF(AND(ISNUMBER(SKOR!AK31),SKOR!AK31=0),SKOR!AK$5,"")</f>
        <v>33</v>
      </c>
      <c r="AS68" s="70" t="n">
        <f aca="false">IF(AND(ISNUMBER(SKOR!AL31),SKOR!AL31=0),SKOR!AL$5,"")</f>
        <v>34</v>
      </c>
      <c r="AT68" s="70" t="n">
        <f aca="false">IF(AND(ISNUMBER(SKOR!AM31),SKOR!AM31=0),SKOR!AM$5,"")</f>
        <v>35</v>
      </c>
      <c r="AU68" s="70" t="n">
        <f aca="false">IF(AND(ISNUMBER(SKOR!AN31),SKOR!AN31=0),SKOR!AN$5,"")</f>
        <v>36</v>
      </c>
      <c r="AV68" s="70" t="str">
        <f aca="false">IF(AND(ISNUMBER(SKOR!AO31),SKOR!AO31=0),SKOR!AO$5,"")</f>
        <v/>
      </c>
      <c r="AW68" s="70" t="n">
        <f aca="false">IF(AND(ISNUMBER(SKOR!AP31),SKOR!AP31=0),SKOR!AP$5,"")</f>
        <v>38</v>
      </c>
      <c r="AX68" s="70" t="str">
        <f aca="false">IF(AND(ISNUMBER(SKOR!AQ31),SKOR!AQ31=0),SKOR!AQ$5,"")</f>
        <v/>
      </c>
      <c r="AY68" s="70" t="str">
        <f aca="false">IF(AND(ISNUMBER(SKOR!AR31),SKOR!AR31=0),SKOR!AR$5,"")</f>
        <v/>
      </c>
    </row>
    <row r="69" customFormat="false" ht="24.75" hidden="false" customHeight="true" outlineLevel="0" collapsed="false">
      <c r="A69" s="65" t="n">
        <f aca="false">NILAI!A32</f>
        <v>27</v>
      </c>
      <c r="B69" s="66" t="str">
        <f aca="false">NILAI!B32</f>
        <v>SISWA 28</v>
      </c>
      <c r="C69" s="65" t="str">
        <f aca="false">NILAI!C32</f>
        <v>IX G</v>
      </c>
      <c r="D69" s="56" t="n">
        <f aca="false">NILAI!F32</f>
        <v>60</v>
      </c>
      <c r="E69" s="67" t="n">
        <f aca="false">IF(D69="","",D69-NILAI_KKM)</f>
        <v>-15</v>
      </c>
      <c r="F69" s="68" t="str">
        <f aca="false">IF(D69="","",IF(D69&lt;NILAI_KKM,"Remedial","Pengayaan"))</f>
        <v>Remedial</v>
      </c>
      <c r="G69" s="66" t="str">
        <f aca="false">IF(F69="","",IF(F69="Remedial",IF(D69&lt;BATAS_INTENSIF,"Remedial intensif: pembelajaran ulang + tes ulang","Remedial terbimbing: bahas butir salah + tes ulang"),IF(NILAI!I32="Atas","Pengayaan lanjut: tutor sebaya + soal HOTS","Pengayaan dasar: pendalaman + proyek")))</f>
        <v>Remedial terbimbing: bahas butir salah + tes ulang</v>
      </c>
      <c r="H69" s="66" t="str">
        <f aca="false">IF(F69="","",IF(F69="Pengayaan","-",IF(_xlfn.TEXTJOIN(", ",TRUE(),$L69:$AY69)="","-",_xlfn.TEXTJOIN(", ",TRUE(),$L69:$AY69))))</f>
        <v>3, 5, 6, 13, 14, 17, 18, 21, 24, 27, 28, 35, 36, 37, 38, 39</v>
      </c>
      <c r="I69" s="69"/>
      <c r="J69" s="65" t="str">
        <f aca="false">IF(OR(F69&lt;&gt;"Remedial",I69=""),"",IF(I69&gt;=NILAI_KKM,"Tuntas","Belum tuntas"))</f>
        <v/>
      </c>
      <c r="L69" s="70" t="str">
        <f aca="false">IF(AND(ISNUMBER(SKOR!E32),SKOR!E32=0),SKOR!E$5,"")</f>
        <v/>
      </c>
      <c r="M69" s="70" t="str">
        <f aca="false">IF(AND(ISNUMBER(SKOR!F32),SKOR!F32=0),SKOR!F$5,"")</f>
        <v/>
      </c>
      <c r="N69" s="70" t="n">
        <f aca="false">IF(AND(ISNUMBER(SKOR!G32),SKOR!G32=0),SKOR!G$5,"")</f>
        <v>3</v>
      </c>
      <c r="O69" s="70" t="str">
        <f aca="false">IF(AND(ISNUMBER(SKOR!H32),SKOR!H32=0),SKOR!H$5,"")</f>
        <v/>
      </c>
      <c r="P69" s="70" t="n">
        <f aca="false">IF(AND(ISNUMBER(SKOR!I32),SKOR!I32=0),SKOR!I$5,"")</f>
        <v>5</v>
      </c>
      <c r="Q69" s="70" t="n">
        <f aca="false">IF(AND(ISNUMBER(SKOR!J32),SKOR!J32=0),SKOR!J$5,"")</f>
        <v>6</v>
      </c>
      <c r="R69" s="70" t="str">
        <f aca="false">IF(AND(ISNUMBER(SKOR!K32),SKOR!K32=0),SKOR!K$5,"")</f>
        <v/>
      </c>
      <c r="S69" s="70" t="str">
        <f aca="false">IF(AND(ISNUMBER(SKOR!L32),SKOR!L32=0),SKOR!L$5,"")</f>
        <v/>
      </c>
      <c r="T69" s="70" t="str">
        <f aca="false">IF(AND(ISNUMBER(SKOR!M32),SKOR!M32=0),SKOR!M$5,"")</f>
        <v/>
      </c>
      <c r="U69" s="70" t="str">
        <f aca="false">IF(AND(ISNUMBER(SKOR!N32),SKOR!N32=0),SKOR!N$5,"")</f>
        <v/>
      </c>
      <c r="V69" s="70" t="str">
        <f aca="false">IF(AND(ISNUMBER(SKOR!O32),SKOR!O32=0),SKOR!O$5,"")</f>
        <v/>
      </c>
      <c r="W69" s="70" t="str">
        <f aca="false">IF(AND(ISNUMBER(SKOR!P32),SKOR!P32=0),SKOR!P$5,"")</f>
        <v/>
      </c>
      <c r="X69" s="70" t="n">
        <f aca="false">IF(AND(ISNUMBER(SKOR!Q32),SKOR!Q32=0),SKOR!Q$5,"")</f>
        <v>13</v>
      </c>
      <c r="Y69" s="70" t="n">
        <f aca="false">IF(AND(ISNUMBER(SKOR!R32),SKOR!R32=0),SKOR!R$5,"")</f>
        <v>14</v>
      </c>
      <c r="Z69" s="70" t="str">
        <f aca="false">IF(AND(ISNUMBER(SKOR!S32),SKOR!S32=0),SKOR!S$5,"")</f>
        <v/>
      </c>
      <c r="AA69" s="70" t="str">
        <f aca="false">IF(AND(ISNUMBER(SKOR!T32),SKOR!T32=0),SKOR!T$5,"")</f>
        <v/>
      </c>
      <c r="AB69" s="70" t="n">
        <f aca="false">IF(AND(ISNUMBER(SKOR!U32),SKOR!U32=0),SKOR!U$5,"")</f>
        <v>17</v>
      </c>
      <c r="AC69" s="70" t="n">
        <f aca="false">IF(AND(ISNUMBER(SKOR!V32),SKOR!V32=0),SKOR!V$5,"")</f>
        <v>18</v>
      </c>
      <c r="AD69" s="70" t="str">
        <f aca="false">IF(AND(ISNUMBER(SKOR!W32),SKOR!W32=0),SKOR!W$5,"")</f>
        <v/>
      </c>
      <c r="AE69" s="70" t="str">
        <f aca="false">IF(AND(ISNUMBER(SKOR!X32),SKOR!X32=0),SKOR!X$5,"")</f>
        <v/>
      </c>
      <c r="AF69" s="70" t="n">
        <f aca="false">IF(AND(ISNUMBER(SKOR!Y32),SKOR!Y32=0),SKOR!Y$5,"")</f>
        <v>21</v>
      </c>
      <c r="AG69" s="70" t="str">
        <f aca="false">IF(AND(ISNUMBER(SKOR!Z32),SKOR!Z32=0),SKOR!Z$5,"")</f>
        <v/>
      </c>
      <c r="AH69" s="70" t="str">
        <f aca="false">IF(AND(ISNUMBER(SKOR!AA32),SKOR!AA32=0),SKOR!AA$5,"")</f>
        <v/>
      </c>
      <c r="AI69" s="70" t="n">
        <f aca="false">IF(AND(ISNUMBER(SKOR!AB32),SKOR!AB32=0),SKOR!AB$5,"")</f>
        <v>24</v>
      </c>
      <c r="AJ69" s="70" t="str">
        <f aca="false">IF(AND(ISNUMBER(SKOR!AC32),SKOR!AC32=0),SKOR!AC$5,"")</f>
        <v/>
      </c>
      <c r="AK69" s="70" t="str">
        <f aca="false">IF(AND(ISNUMBER(SKOR!AD32),SKOR!AD32=0),SKOR!AD$5,"")</f>
        <v/>
      </c>
      <c r="AL69" s="70" t="n">
        <f aca="false">IF(AND(ISNUMBER(SKOR!AE32),SKOR!AE32=0),SKOR!AE$5,"")</f>
        <v>27</v>
      </c>
      <c r="AM69" s="70" t="n">
        <f aca="false">IF(AND(ISNUMBER(SKOR!AF32),SKOR!AF32=0),SKOR!AF$5,"")</f>
        <v>28</v>
      </c>
      <c r="AN69" s="70" t="str">
        <f aca="false">IF(AND(ISNUMBER(SKOR!AG32),SKOR!AG32=0),SKOR!AG$5,"")</f>
        <v/>
      </c>
      <c r="AO69" s="70" t="str">
        <f aca="false">IF(AND(ISNUMBER(SKOR!AH32),SKOR!AH32=0),SKOR!AH$5,"")</f>
        <v/>
      </c>
      <c r="AP69" s="70" t="str">
        <f aca="false">IF(AND(ISNUMBER(SKOR!AI32),SKOR!AI32=0),SKOR!AI$5,"")</f>
        <v/>
      </c>
      <c r="AQ69" s="70" t="str">
        <f aca="false">IF(AND(ISNUMBER(SKOR!AJ32),SKOR!AJ32=0),SKOR!AJ$5,"")</f>
        <v/>
      </c>
      <c r="AR69" s="70" t="str">
        <f aca="false">IF(AND(ISNUMBER(SKOR!AK32),SKOR!AK32=0),SKOR!AK$5,"")</f>
        <v/>
      </c>
      <c r="AS69" s="70" t="str">
        <f aca="false">IF(AND(ISNUMBER(SKOR!AL32),SKOR!AL32=0),SKOR!AL$5,"")</f>
        <v/>
      </c>
      <c r="AT69" s="70" t="n">
        <f aca="false">IF(AND(ISNUMBER(SKOR!AM32),SKOR!AM32=0),SKOR!AM$5,"")</f>
        <v>35</v>
      </c>
      <c r="AU69" s="70" t="n">
        <f aca="false">IF(AND(ISNUMBER(SKOR!AN32),SKOR!AN32=0),SKOR!AN$5,"")</f>
        <v>36</v>
      </c>
      <c r="AV69" s="70" t="n">
        <f aca="false">IF(AND(ISNUMBER(SKOR!AO32),SKOR!AO32=0),SKOR!AO$5,"")</f>
        <v>37</v>
      </c>
      <c r="AW69" s="70" t="n">
        <f aca="false">IF(AND(ISNUMBER(SKOR!AP32),SKOR!AP32=0),SKOR!AP$5,"")</f>
        <v>38</v>
      </c>
      <c r="AX69" s="70" t="n">
        <f aca="false">IF(AND(ISNUMBER(SKOR!AQ32),SKOR!AQ32=0),SKOR!AQ$5,"")</f>
        <v>39</v>
      </c>
      <c r="AY69" s="70" t="str">
        <f aca="false">IF(AND(ISNUMBER(SKOR!AR32),SKOR!AR32=0),SKOR!AR$5,"")</f>
        <v/>
      </c>
    </row>
    <row r="70" customFormat="false" ht="23.85" hidden="false" customHeight="false" outlineLevel="0" collapsed="false">
      <c r="A70" s="65" t="n">
        <f aca="false">NILAI!A33</f>
        <v>28</v>
      </c>
      <c r="B70" s="66" t="str">
        <f aca="false">NILAI!B33</f>
        <v>SISWA 29</v>
      </c>
      <c r="C70" s="65" t="str">
        <f aca="false">NILAI!C33</f>
        <v>IX G</v>
      </c>
      <c r="D70" s="56" t="n">
        <f aca="false">NILAI!F33</f>
        <v>65</v>
      </c>
      <c r="E70" s="67" t="n">
        <f aca="false">IF(D70="","",D70-NILAI_KKM)</f>
        <v>-10</v>
      </c>
      <c r="F70" s="68" t="str">
        <f aca="false">IF(D70="","",IF(D70&lt;NILAI_KKM,"Remedial","Pengayaan"))</f>
        <v>Remedial</v>
      </c>
      <c r="G70" s="66" t="str">
        <f aca="false">IF(F70="","",IF(F70="Remedial",IF(D70&lt;BATAS_INTENSIF,"Remedial intensif: pembelajaran ulang + tes ulang","Remedial terbimbing: bahas butir salah + tes ulang"),IF(NILAI!I33="Atas","Pengayaan lanjut: tutor sebaya + soal HOTS","Pengayaan dasar: pendalaman + proyek")))</f>
        <v>Remedial terbimbing: bahas butir salah + tes ulang</v>
      </c>
      <c r="H70" s="66" t="str">
        <f aca="false">IF(F70="","",IF(F70="Pengayaan","-",IF(_xlfn.TEXTJOIN(", ",TRUE(),$L70:$AY70)="","-",_xlfn.TEXTJOIN(", ",TRUE(),$L70:$AY70))))</f>
        <v>4, 7, 10, 11, 13, 17, 18, 19, 23, 29, 30, 34, 36, 37</v>
      </c>
      <c r="I70" s="69"/>
      <c r="J70" s="65" t="str">
        <f aca="false">IF(OR(F70&lt;&gt;"Remedial",I70=""),"",IF(I70&gt;=NILAI_KKM,"Tuntas","Belum tuntas"))</f>
        <v/>
      </c>
      <c r="L70" s="70" t="str">
        <f aca="false">IF(AND(ISNUMBER(SKOR!E33),SKOR!E33=0),SKOR!E$5,"")</f>
        <v/>
      </c>
      <c r="M70" s="70" t="str">
        <f aca="false">IF(AND(ISNUMBER(SKOR!F33),SKOR!F33=0),SKOR!F$5,"")</f>
        <v/>
      </c>
      <c r="N70" s="70" t="str">
        <f aca="false">IF(AND(ISNUMBER(SKOR!G33),SKOR!G33=0),SKOR!G$5,"")</f>
        <v/>
      </c>
      <c r="O70" s="70" t="n">
        <f aca="false">IF(AND(ISNUMBER(SKOR!H33),SKOR!H33=0),SKOR!H$5,"")</f>
        <v>4</v>
      </c>
      <c r="P70" s="70" t="str">
        <f aca="false">IF(AND(ISNUMBER(SKOR!I33),SKOR!I33=0),SKOR!I$5,"")</f>
        <v/>
      </c>
      <c r="Q70" s="70" t="str">
        <f aca="false">IF(AND(ISNUMBER(SKOR!J33),SKOR!J33=0),SKOR!J$5,"")</f>
        <v/>
      </c>
      <c r="R70" s="70" t="n">
        <f aca="false">IF(AND(ISNUMBER(SKOR!K33),SKOR!K33=0),SKOR!K$5,"")</f>
        <v>7</v>
      </c>
      <c r="S70" s="70" t="str">
        <f aca="false">IF(AND(ISNUMBER(SKOR!L33),SKOR!L33=0),SKOR!L$5,"")</f>
        <v/>
      </c>
      <c r="T70" s="70" t="str">
        <f aca="false">IF(AND(ISNUMBER(SKOR!M33),SKOR!M33=0),SKOR!M$5,"")</f>
        <v/>
      </c>
      <c r="U70" s="70" t="n">
        <f aca="false">IF(AND(ISNUMBER(SKOR!N33),SKOR!N33=0),SKOR!N$5,"")</f>
        <v>10</v>
      </c>
      <c r="V70" s="70" t="n">
        <f aca="false">IF(AND(ISNUMBER(SKOR!O33),SKOR!O33=0),SKOR!O$5,"")</f>
        <v>11</v>
      </c>
      <c r="W70" s="70" t="str">
        <f aca="false">IF(AND(ISNUMBER(SKOR!P33),SKOR!P33=0),SKOR!P$5,"")</f>
        <v/>
      </c>
      <c r="X70" s="70" t="n">
        <f aca="false">IF(AND(ISNUMBER(SKOR!Q33),SKOR!Q33=0),SKOR!Q$5,"")</f>
        <v>13</v>
      </c>
      <c r="Y70" s="70" t="str">
        <f aca="false">IF(AND(ISNUMBER(SKOR!R33),SKOR!R33=0),SKOR!R$5,"")</f>
        <v/>
      </c>
      <c r="Z70" s="70" t="str">
        <f aca="false">IF(AND(ISNUMBER(SKOR!S33),SKOR!S33=0),SKOR!S$5,"")</f>
        <v/>
      </c>
      <c r="AA70" s="70" t="str">
        <f aca="false">IF(AND(ISNUMBER(SKOR!T33),SKOR!T33=0),SKOR!T$5,"")</f>
        <v/>
      </c>
      <c r="AB70" s="70" t="n">
        <f aca="false">IF(AND(ISNUMBER(SKOR!U33),SKOR!U33=0),SKOR!U$5,"")</f>
        <v>17</v>
      </c>
      <c r="AC70" s="70" t="n">
        <f aca="false">IF(AND(ISNUMBER(SKOR!V33),SKOR!V33=0),SKOR!V$5,"")</f>
        <v>18</v>
      </c>
      <c r="AD70" s="70" t="n">
        <f aca="false">IF(AND(ISNUMBER(SKOR!W33),SKOR!W33=0),SKOR!W$5,"")</f>
        <v>19</v>
      </c>
      <c r="AE70" s="70" t="str">
        <f aca="false">IF(AND(ISNUMBER(SKOR!X33),SKOR!X33=0),SKOR!X$5,"")</f>
        <v/>
      </c>
      <c r="AF70" s="70" t="str">
        <f aca="false">IF(AND(ISNUMBER(SKOR!Y33),SKOR!Y33=0),SKOR!Y$5,"")</f>
        <v/>
      </c>
      <c r="AG70" s="70" t="str">
        <f aca="false">IF(AND(ISNUMBER(SKOR!Z33),SKOR!Z33=0),SKOR!Z$5,"")</f>
        <v/>
      </c>
      <c r="AH70" s="70" t="n">
        <f aca="false">IF(AND(ISNUMBER(SKOR!AA33),SKOR!AA33=0),SKOR!AA$5,"")</f>
        <v>23</v>
      </c>
      <c r="AI70" s="70" t="str">
        <f aca="false">IF(AND(ISNUMBER(SKOR!AB33),SKOR!AB33=0),SKOR!AB$5,"")</f>
        <v/>
      </c>
      <c r="AJ70" s="70" t="str">
        <f aca="false">IF(AND(ISNUMBER(SKOR!AC33),SKOR!AC33=0),SKOR!AC$5,"")</f>
        <v/>
      </c>
      <c r="AK70" s="70" t="str">
        <f aca="false">IF(AND(ISNUMBER(SKOR!AD33),SKOR!AD33=0),SKOR!AD$5,"")</f>
        <v/>
      </c>
      <c r="AL70" s="70" t="str">
        <f aca="false">IF(AND(ISNUMBER(SKOR!AE33),SKOR!AE33=0),SKOR!AE$5,"")</f>
        <v/>
      </c>
      <c r="AM70" s="70" t="str">
        <f aca="false">IF(AND(ISNUMBER(SKOR!AF33),SKOR!AF33=0),SKOR!AF$5,"")</f>
        <v/>
      </c>
      <c r="AN70" s="70" t="n">
        <f aca="false">IF(AND(ISNUMBER(SKOR!AG33),SKOR!AG33=0),SKOR!AG$5,"")</f>
        <v>29</v>
      </c>
      <c r="AO70" s="70" t="n">
        <f aca="false">IF(AND(ISNUMBER(SKOR!AH33),SKOR!AH33=0),SKOR!AH$5,"")</f>
        <v>30</v>
      </c>
      <c r="AP70" s="70" t="str">
        <f aca="false">IF(AND(ISNUMBER(SKOR!AI33),SKOR!AI33=0),SKOR!AI$5,"")</f>
        <v/>
      </c>
      <c r="AQ70" s="70" t="str">
        <f aca="false">IF(AND(ISNUMBER(SKOR!AJ33),SKOR!AJ33=0),SKOR!AJ$5,"")</f>
        <v/>
      </c>
      <c r="AR70" s="70" t="str">
        <f aca="false">IF(AND(ISNUMBER(SKOR!AK33),SKOR!AK33=0),SKOR!AK$5,"")</f>
        <v/>
      </c>
      <c r="AS70" s="70" t="n">
        <f aca="false">IF(AND(ISNUMBER(SKOR!AL33),SKOR!AL33=0),SKOR!AL$5,"")</f>
        <v>34</v>
      </c>
      <c r="AT70" s="70" t="str">
        <f aca="false">IF(AND(ISNUMBER(SKOR!AM33),SKOR!AM33=0),SKOR!AM$5,"")</f>
        <v/>
      </c>
      <c r="AU70" s="70" t="n">
        <f aca="false">IF(AND(ISNUMBER(SKOR!AN33),SKOR!AN33=0),SKOR!AN$5,"")</f>
        <v>36</v>
      </c>
      <c r="AV70" s="70" t="n">
        <f aca="false">IF(AND(ISNUMBER(SKOR!AO33),SKOR!AO33=0),SKOR!AO$5,"")</f>
        <v>37</v>
      </c>
      <c r="AW70" s="70" t="str">
        <f aca="false">IF(AND(ISNUMBER(SKOR!AP33),SKOR!AP33=0),SKOR!AP$5,"")</f>
        <v/>
      </c>
      <c r="AX70" s="70" t="str">
        <f aca="false">IF(AND(ISNUMBER(SKOR!AQ33),SKOR!AQ33=0),SKOR!AQ$5,"")</f>
        <v/>
      </c>
      <c r="AY70" s="70" t="str">
        <f aca="false">IF(AND(ISNUMBER(SKOR!AR33),SKOR!AR33=0),SKOR!AR$5,"")</f>
        <v/>
      </c>
    </row>
    <row r="71" customFormat="false" ht="24.75" hidden="false" customHeight="true" outlineLevel="0" collapsed="false">
      <c r="A71" s="65" t="n">
        <f aca="false">NILAI!A34</f>
        <v>29</v>
      </c>
      <c r="B71" s="66" t="str">
        <f aca="false">NILAI!B34</f>
        <v>SISWA 30</v>
      </c>
      <c r="C71" s="65" t="str">
        <f aca="false">NILAI!C34</f>
        <v>IX G</v>
      </c>
      <c r="D71" s="56" t="n">
        <f aca="false">NILAI!F34</f>
        <v>55</v>
      </c>
      <c r="E71" s="67" t="n">
        <f aca="false">IF(D71="","",D71-NILAI_KKM)</f>
        <v>-20</v>
      </c>
      <c r="F71" s="68" t="str">
        <f aca="false">IF(D71="","",IF(D71&lt;NILAI_KKM,"Remedial","Pengayaan"))</f>
        <v>Remedial</v>
      </c>
      <c r="G71" s="66" t="str">
        <f aca="false">IF(F71="","",IF(F71="Remedial",IF(D71&lt;BATAS_INTENSIF,"Remedial intensif: pembelajaran ulang + tes ulang","Remedial terbimbing: bahas butir salah + tes ulang"),IF(NILAI!I34="Atas","Pengayaan lanjut: tutor sebaya + soal HOTS","Pengayaan dasar: pendalaman + proyek")))</f>
        <v>Remedial terbimbing: bahas butir salah + tes ulang</v>
      </c>
      <c r="H71" s="66" t="str">
        <f aca="false">IF(F71="","",IF(F71="Pengayaan","-",IF(_xlfn.TEXTJOIN(", ",TRUE(),$L71:$AY71)="","-",_xlfn.TEXTJOIN(", ",TRUE(),$L71:$AY71))))</f>
        <v>5, 6, 7, 10, 11, 12, 14, 17, 18, 27, 28, 29, 30, 33, 36, 37, 38, 39</v>
      </c>
      <c r="I71" s="69"/>
      <c r="J71" s="65" t="str">
        <f aca="false">IF(OR(F71&lt;&gt;"Remedial",I71=""),"",IF(I71&gt;=NILAI_KKM,"Tuntas","Belum tuntas"))</f>
        <v/>
      </c>
      <c r="L71" s="70" t="str">
        <f aca="false">IF(AND(ISNUMBER(SKOR!E34),SKOR!E34=0),SKOR!E$5,"")</f>
        <v/>
      </c>
      <c r="M71" s="70" t="str">
        <f aca="false">IF(AND(ISNUMBER(SKOR!F34),SKOR!F34=0),SKOR!F$5,"")</f>
        <v/>
      </c>
      <c r="N71" s="70" t="str">
        <f aca="false">IF(AND(ISNUMBER(SKOR!G34),SKOR!G34=0),SKOR!G$5,"")</f>
        <v/>
      </c>
      <c r="O71" s="70" t="str">
        <f aca="false">IF(AND(ISNUMBER(SKOR!H34),SKOR!H34=0),SKOR!H$5,"")</f>
        <v/>
      </c>
      <c r="P71" s="70" t="n">
        <f aca="false">IF(AND(ISNUMBER(SKOR!I34),SKOR!I34=0),SKOR!I$5,"")</f>
        <v>5</v>
      </c>
      <c r="Q71" s="70" t="n">
        <f aca="false">IF(AND(ISNUMBER(SKOR!J34),SKOR!J34=0),SKOR!J$5,"")</f>
        <v>6</v>
      </c>
      <c r="R71" s="70" t="n">
        <f aca="false">IF(AND(ISNUMBER(SKOR!K34),SKOR!K34=0),SKOR!K$5,"")</f>
        <v>7</v>
      </c>
      <c r="S71" s="70" t="str">
        <f aca="false">IF(AND(ISNUMBER(SKOR!L34),SKOR!L34=0),SKOR!L$5,"")</f>
        <v/>
      </c>
      <c r="T71" s="70" t="str">
        <f aca="false">IF(AND(ISNUMBER(SKOR!M34),SKOR!M34=0),SKOR!M$5,"")</f>
        <v/>
      </c>
      <c r="U71" s="70" t="n">
        <f aca="false">IF(AND(ISNUMBER(SKOR!N34),SKOR!N34=0),SKOR!N$5,"")</f>
        <v>10</v>
      </c>
      <c r="V71" s="70" t="n">
        <f aca="false">IF(AND(ISNUMBER(SKOR!O34),SKOR!O34=0),SKOR!O$5,"")</f>
        <v>11</v>
      </c>
      <c r="W71" s="70" t="n">
        <f aca="false">IF(AND(ISNUMBER(SKOR!P34),SKOR!P34=0),SKOR!P$5,"")</f>
        <v>12</v>
      </c>
      <c r="X71" s="70" t="str">
        <f aca="false">IF(AND(ISNUMBER(SKOR!Q34),SKOR!Q34=0),SKOR!Q$5,"")</f>
        <v/>
      </c>
      <c r="Y71" s="70" t="n">
        <f aca="false">IF(AND(ISNUMBER(SKOR!R34),SKOR!R34=0),SKOR!R$5,"")</f>
        <v>14</v>
      </c>
      <c r="Z71" s="70" t="str">
        <f aca="false">IF(AND(ISNUMBER(SKOR!S34),SKOR!S34=0),SKOR!S$5,"")</f>
        <v/>
      </c>
      <c r="AA71" s="70" t="str">
        <f aca="false">IF(AND(ISNUMBER(SKOR!T34),SKOR!T34=0),SKOR!T$5,"")</f>
        <v/>
      </c>
      <c r="AB71" s="70" t="n">
        <f aca="false">IF(AND(ISNUMBER(SKOR!U34),SKOR!U34=0),SKOR!U$5,"")</f>
        <v>17</v>
      </c>
      <c r="AC71" s="70" t="n">
        <f aca="false">IF(AND(ISNUMBER(SKOR!V34),SKOR!V34=0),SKOR!V$5,"")</f>
        <v>18</v>
      </c>
      <c r="AD71" s="70" t="str">
        <f aca="false">IF(AND(ISNUMBER(SKOR!W34),SKOR!W34=0),SKOR!W$5,"")</f>
        <v/>
      </c>
      <c r="AE71" s="70" t="str">
        <f aca="false">IF(AND(ISNUMBER(SKOR!X34),SKOR!X34=0),SKOR!X$5,"")</f>
        <v/>
      </c>
      <c r="AF71" s="70" t="str">
        <f aca="false">IF(AND(ISNUMBER(SKOR!Y34),SKOR!Y34=0),SKOR!Y$5,"")</f>
        <v/>
      </c>
      <c r="AG71" s="70" t="str">
        <f aca="false">IF(AND(ISNUMBER(SKOR!Z34),SKOR!Z34=0),SKOR!Z$5,"")</f>
        <v/>
      </c>
      <c r="AH71" s="70" t="str">
        <f aca="false">IF(AND(ISNUMBER(SKOR!AA34),SKOR!AA34=0),SKOR!AA$5,"")</f>
        <v/>
      </c>
      <c r="AI71" s="70" t="str">
        <f aca="false">IF(AND(ISNUMBER(SKOR!AB34),SKOR!AB34=0),SKOR!AB$5,"")</f>
        <v/>
      </c>
      <c r="AJ71" s="70" t="str">
        <f aca="false">IF(AND(ISNUMBER(SKOR!AC34),SKOR!AC34=0),SKOR!AC$5,"")</f>
        <v/>
      </c>
      <c r="AK71" s="70" t="str">
        <f aca="false">IF(AND(ISNUMBER(SKOR!AD34),SKOR!AD34=0),SKOR!AD$5,"")</f>
        <v/>
      </c>
      <c r="AL71" s="70" t="n">
        <f aca="false">IF(AND(ISNUMBER(SKOR!AE34),SKOR!AE34=0),SKOR!AE$5,"")</f>
        <v>27</v>
      </c>
      <c r="AM71" s="70" t="n">
        <f aca="false">IF(AND(ISNUMBER(SKOR!AF34),SKOR!AF34=0),SKOR!AF$5,"")</f>
        <v>28</v>
      </c>
      <c r="AN71" s="70" t="n">
        <f aca="false">IF(AND(ISNUMBER(SKOR!AG34),SKOR!AG34=0),SKOR!AG$5,"")</f>
        <v>29</v>
      </c>
      <c r="AO71" s="70" t="n">
        <f aca="false">IF(AND(ISNUMBER(SKOR!AH34),SKOR!AH34=0),SKOR!AH$5,"")</f>
        <v>30</v>
      </c>
      <c r="AP71" s="70" t="str">
        <f aca="false">IF(AND(ISNUMBER(SKOR!AI34),SKOR!AI34=0),SKOR!AI$5,"")</f>
        <v/>
      </c>
      <c r="AQ71" s="70" t="str">
        <f aca="false">IF(AND(ISNUMBER(SKOR!AJ34),SKOR!AJ34=0),SKOR!AJ$5,"")</f>
        <v/>
      </c>
      <c r="AR71" s="70" t="n">
        <f aca="false">IF(AND(ISNUMBER(SKOR!AK34),SKOR!AK34=0),SKOR!AK$5,"")</f>
        <v>33</v>
      </c>
      <c r="AS71" s="70" t="str">
        <f aca="false">IF(AND(ISNUMBER(SKOR!AL34),SKOR!AL34=0),SKOR!AL$5,"")</f>
        <v/>
      </c>
      <c r="AT71" s="70" t="str">
        <f aca="false">IF(AND(ISNUMBER(SKOR!AM34),SKOR!AM34=0),SKOR!AM$5,"")</f>
        <v/>
      </c>
      <c r="AU71" s="70" t="n">
        <f aca="false">IF(AND(ISNUMBER(SKOR!AN34),SKOR!AN34=0),SKOR!AN$5,"")</f>
        <v>36</v>
      </c>
      <c r="AV71" s="70" t="n">
        <f aca="false">IF(AND(ISNUMBER(SKOR!AO34),SKOR!AO34=0),SKOR!AO$5,"")</f>
        <v>37</v>
      </c>
      <c r="AW71" s="70" t="n">
        <f aca="false">IF(AND(ISNUMBER(SKOR!AP34),SKOR!AP34=0),SKOR!AP$5,"")</f>
        <v>38</v>
      </c>
      <c r="AX71" s="70" t="n">
        <f aca="false">IF(AND(ISNUMBER(SKOR!AQ34),SKOR!AQ34=0),SKOR!AQ$5,"")</f>
        <v>39</v>
      </c>
      <c r="AY71" s="70" t="str">
        <f aca="false">IF(AND(ISNUMBER(SKOR!AR34),SKOR!AR34=0),SKOR!AR$5,"")</f>
        <v/>
      </c>
    </row>
    <row r="72" customFormat="false" ht="24.75" hidden="false" customHeight="true" outlineLevel="0" collapsed="false">
      <c r="A72" s="65" t="n">
        <f aca="false">NILAI!A35</f>
        <v>30</v>
      </c>
      <c r="B72" s="66" t="str">
        <f aca="false">NILAI!B35</f>
        <v>SISWA 31</v>
      </c>
      <c r="C72" s="65" t="str">
        <f aca="false">NILAI!C35</f>
        <v>IX G</v>
      </c>
      <c r="D72" s="56" t="n">
        <f aca="false">NILAI!F35</f>
        <v>47.5</v>
      </c>
      <c r="E72" s="67" t="n">
        <f aca="false">IF(D72="","",D72-NILAI_KKM)</f>
        <v>-27.5</v>
      </c>
      <c r="F72" s="68" t="str">
        <f aca="false">IF(D72="","",IF(D72&lt;NILAI_KKM,"Remedial","Pengayaan"))</f>
        <v>Remedial</v>
      </c>
      <c r="G72" s="66" t="str">
        <f aca="false">IF(F72="","",IF(F72="Remedial",IF(D72&lt;BATAS_INTENSIF,"Remedial intensif: pembelajaran ulang + tes ulang","Remedial terbimbing: bahas butir salah + tes ulang"),IF(NILAI!I35="Atas","Pengayaan lanjut: tutor sebaya + soal HOTS","Pengayaan dasar: pendalaman + proyek")))</f>
        <v>Remedial intensif: pembelajaran ulang + tes ulang</v>
      </c>
      <c r="H72" s="66" t="str">
        <f aca="false">IF(F72="","",IF(F72="Pengayaan","-",IF(_xlfn.TEXTJOIN(", ",TRUE(),$L72:$AY72)="","-",_xlfn.TEXTJOIN(", ",TRUE(),$L72:$AY72))))</f>
        <v>3, 4, 5, 6, 10, 11, 14, 15, 16, 21, 22, 26, 27, 28, 29, 30, 33, 34, 35, 37, 40</v>
      </c>
      <c r="I72" s="69"/>
      <c r="J72" s="65" t="str">
        <f aca="false">IF(OR(F72&lt;&gt;"Remedial",I72=""),"",IF(I72&gt;=NILAI_KKM,"Tuntas","Belum tuntas"))</f>
        <v/>
      </c>
      <c r="L72" s="70" t="str">
        <f aca="false">IF(AND(ISNUMBER(SKOR!E35),SKOR!E35=0),SKOR!E$5,"")</f>
        <v/>
      </c>
      <c r="M72" s="70" t="str">
        <f aca="false">IF(AND(ISNUMBER(SKOR!F35),SKOR!F35=0),SKOR!F$5,"")</f>
        <v/>
      </c>
      <c r="N72" s="70" t="n">
        <f aca="false">IF(AND(ISNUMBER(SKOR!G35),SKOR!G35=0),SKOR!G$5,"")</f>
        <v>3</v>
      </c>
      <c r="O72" s="70" t="n">
        <f aca="false">IF(AND(ISNUMBER(SKOR!H35),SKOR!H35=0),SKOR!H$5,"")</f>
        <v>4</v>
      </c>
      <c r="P72" s="70" t="n">
        <f aca="false">IF(AND(ISNUMBER(SKOR!I35),SKOR!I35=0),SKOR!I$5,"")</f>
        <v>5</v>
      </c>
      <c r="Q72" s="70" t="n">
        <f aca="false">IF(AND(ISNUMBER(SKOR!J35),SKOR!J35=0),SKOR!J$5,"")</f>
        <v>6</v>
      </c>
      <c r="R72" s="70" t="str">
        <f aca="false">IF(AND(ISNUMBER(SKOR!K35),SKOR!K35=0),SKOR!K$5,"")</f>
        <v/>
      </c>
      <c r="S72" s="70" t="str">
        <f aca="false">IF(AND(ISNUMBER(SKOR!L35),SKOR!L35=0),SKOR!L$5,"")</f>
        <v/>
      </c>
      <c r="T72" s="70" t="str">
        <f aca="false">IF(AND(ISNUMBER(SKOR!M35),SKOR!M35=0),SKOR!M$5,"")</f>
        <v/>
      </c>
      <c r="U72" s="70" t="n">
        <f aca="false">IF(AND(ISNUMBER(SKOR!N35),SKOR!N35=0),SKOR!N$5,"")</f>
        <v>10</v>
      </c>
      <c r="V72" s="70" t="n">
        <f aca="false">IF(AND(ISNUMBER(SKOR!O35),SKOR!O35=0),SKOR!O$5,"")</f>
        <v>11</v>
      </c>
      <c r="W72" s="70" t="str">
        <f aca="false">IF(AND(ISNUMBER(SKOR!P35),SKOR!P35=0),SKOR!P$5,"")</f>
        <v/>
      </c>
      <c r="X72" s="70" t="str">
        <f aca="false">IF(AND(ISNUMBER(SKOR!Q35),SKOR!Q35=0),SKOR!Q$5,"")</f>
        <v/>
      </c>
      <c r="Y72" s="70" t="n">
        <f aca="false">IF(AND(ISNUMBER(SKOR!R35),SKOR!R35=0),SKOR!R$5,"")</f>
        <v>14</v>
      </c>
      <c r="Z72" s="70" t="n">
        <f aca="false">IF(AND(ISNUMBER(SKOR!S35),SKOR!S35=0),SKOR!S$5,"")</f>
        <v>15</v>
      </c>
      <c r="AA72" s="70" t="n">
        <f aca="false">IF(AND(ISNUMBER(SKOR!T35),SKOR!T35=0),SKOR!T$5,"")</f>
        <v>16</v>
      </c>
      <c r="AB72" s="70" t="str">
        <f aca="false">IF(AND(ISNUMBER(SKOR!U35),SKOR!U35=0),SKOR!U$5,"")</f>
        <v/>
      </c>
      <c r="AC72" s="70" t="str">
        <f aca="false">IF(AND(ISNUMBER(SKOR!V35),SKOR!V35=0),SKOR!V$5,"")</f>
        <v/>
      </c>
      <c r="AD72" s="70" t="str">
        <f aca="false">IF(AND(ISNUMBER(SKOR!W35),SKOR!W35=0),SKOR!W$5,"")</f>
        <v/>
      </c>
      <c r="AE72" s="70" t="str">
        <f aca="false">IF(AND(ISNUMBER(SKOR!X35),SKOR!X35=0),SKOR!X$5,"")</f>
        <v/>
      </c>
      <c r="AF72" s="70" t="n">
        <f aca="false">IF(AND(ISNUMBER(SKOR!Y35),SKOR!Y35=0),SKOR!Y$5,"")</f>
        <v>21</v>
      </c>
      <c r="AG72" s="70" t="n">
        <f aca="false">IF(AND(ISNUMBER(SKOR!Z35),SKOR!Z35=0),SKOR!Z$5,"")</f>
        <v>22</v>
      </c>
      <c r="AH72" s="70" t="str">
        <f aca="false">IF(AND(ISNUMBER(SKOR!AA35),SKOR!AA35=0),SKOR!AA$5,"")</f>
        <v/>
      </c>
      <c r="AI72" s="70" t="str">
        <f aca="false">IF(AND(ISNUMBER(SKOR!AB35),SKOR!AB35=0),SKOR!AB$5,"")</f>
        <v/>
      </c>
      <c r="AJ72" s="70" t="str">
        <f aca="false">IF(AND(ISNUMBER(SKOR!AC35),SKOR!AC35=0),SKOR!AC$5,"")</f>
        <v/>
      </c>
      <c r="AK72" s="70" t="n">
        <f aca="false">IF(AND(ISNUMBER(SKOR!AD35),SKOR!AD35=0),SKOR!AD$5,"")</f>
        <v>26</v>
      </c>
      <c r="AL72" s="70" t="n">
        <f aca="false">IF(AND(ISNUMBER(SKOR!AE35),SKOR!AE35=0),SKOR!AE$5,"")</f>
        <v>27</v>
      </c>
      <c r="AM72" s="70" t="n">
        <f aca="false">IF(AND(ISNUMBER(SKOR!AF35),SKOR!AF35=0),SKOR!AF$5,"")</f>
        <v>28</v>
      </c>
      <c r="AN72" s="70" t="n">
        <f aca="false">IF(AND(ISNUMBER(SKOR!AG35),SKOR!AG35=0),SKOR!AG$5,"")</f>
        <v>29</v>
      </c>
      <c r="AO72" s="70" t="n">
        <f aca="false">IF(AND(ISNUMBER(SKOR!AH35),SKOR!AH35=0),SKOR!AH$5,"")</f>
        <v>30</v>
      </c>
      <c r="AP72" s="70" t="str">
        <f aca="false">IF(AND(ISNUMBER(SKOR!AI35),SKOR!AI35=0),SKOR!AI$5,"")</f>
        <v/>
      </c>
      <c r="AQ72" s="70" t="str">
        <f aca="false">IF(AND(ISNUMBER(SKOR!AJ35),SKOR!AJ35=0),SKOR!AJ$5,"")</f>
        <v/>
      </c>
      <c r="AR72" s="70" t="n">
        <f aca="false">IF(AND(ISNUMBER(SKOR!AK35),SKOR!AK35=0),SKOR!AK$5,"")</f>
        <v>33</v>
      </c>
      <c r="AS72" s="70" t="n">
        <f aca="false">IF(AND(ISNUMBER(SKOR!AL35),SKOR!AL35=0),SKOR!AL$5,"")</f>
        <v>34</v>
      </c>
      <c r="AT72" s="70" t="n">
        <f aca="false">IF(AND(ISNUMBER(SKOR!AM35),SKOR!AM35=0),SKOR!AM$5,"")</f>
        <v>35</v>
      </c>
      <c r="AU72" s="70" t="str">
        <f aca="false">IF(AND(ISNUMBER(SKOR!AN35),SKOR!AN35=0),SKOR!AN$5,"")</f>
        <v/>
      </c>
      <c r="AV72" s="70" t="n">
        <f aca="false">IF(AND(ISNUMBER(SKOR!AO35),SKOR!AO35=0),SKOR!AO$5,"")</f>
        <v>37</v>
      </c>
      <c r="AW72" s="70" t="str">
        <f aca="false">IF(AND(ISNUMBER(SKOR!AP35),SKOR!AP35=0),SKOR!AP$5,"")</f>
        <v/>
      </c>
      <c r="AX72" s="70" t="str">
        <f aca="false">IF(AND(ISNUMBER(SKOR!AQ35),SKOR!AQ35=0),SKOR!AQ$5,"")</f>
        <v/>
      </c>
      <c r="AY72" s="70" t="n">
        <f aca="false">IF(AND(ISNUMBER(SKOR!AR35),SKOR!AR35=0),SKOR!AR$5,"")</f>
        <v>40</v>
      </c>
    </row>
    <row r="73" customFormat="false" ht="23.85" hidden="false" customHeight="false" outlineLevel="0" collapsed="false">
      <c r="A73" s="65" t="n">
        <f aca="false">NILAI!A36</f>
        <v>31</v>
      </c>
      <c r="B73" s="66" t="str">
        <f aca="false">NILAI!B36</f>
        <v>SISWA 32</v>
      </c>
      <c r="C73" s="65" t="str">
        <f aca="false">NILAI!C36</f>
        <v/>
      </c>
      <c r="D73" s="56" t="n">
        <f aca="false">NILAI!F36</f>
        <v>50</v>
      </c>
      <c r="E73" s="67" t="n">
        <f aca="false">IF(D73="","",D73-NILAI_KKM)</f>
        <v>-25</v>
      </c>
      <c r="F73" s="68" t="str">
        <f aca="false">IF(D73="","",IF(D73&lt;NILAI_KKM,"Remedial","Pengayaan"))</f>
        <v>Remedial</v>
      </c>
      <c r="G73" s="66" t="str">
        <f aca="false">IF(F73="","",IF(F73="Remedial",IF(D73&lt;BATAS_INTENSIF,"Remedial intensif: pembelajaran ulang + tes ulang","Remedial terbimbing: bahas butir salah + tes ulang"),IF(NILAI!I36="Atas","Pengayaan lanjut: tutor sebaya + soal HOTS","Pengayaan dasar: pendalaman + proyek")))</f>
        <v>Remedial terbimbing: bahas butir salah + tes ulang</v>
      </c>
      <c r="H73" s="66" t="str">
        <f aca="false">IF(F73="","",IF(F73="Pengayaan","-",IF(_xlfn.TEXTJOIN(", ",TRUE(),$L73:$AY73)="","-",_xlfn.TEXTJOIN(", ",TRUE(),$L73:$AY73))))</f>
        <v>1, 5, 7, 9, 12, 13, 15, 16, 18, 21, 22, 25, 26, 29, 30, 31, 35, 36, 37, 40</v>
      </c>
      <c r="I73" s="69"/>
      <c r="J73" s="65" t="str">
        <f aca="false">IF(OR(F73&lt;&gt;"Remedial",I73=""),"",IF(I73&gt;=NILAI_KKM,"Tuntas","Belum tuntas"))</f>
        <v/>
      </c>
      <c r="L73" s="70" t="n">
        <f aca="false">IF(AND(ISNUMBER(SKOR!E36),SKOR!E36=0),SKOR!E$5,"")</f>
        <v>1</v>
      </c>
      <c r="M73" s="70" t="str">
        <f aca="false">IF(AND(ISNUMBER(SKOR!F36),SKOR!F36=0),SKOR!F$5,"")</f>
        <v/>
      </c>
      <c r="N73" s="70" t="str">
        <f aca="false">IF(AND(ISNUMBER(SKOR!G36),SKOR!G36=0),SKOR!G$5,"")</f>
        <v/>
      </c>
      <c r="O73" s="70" t="str">
        <f aca="false">IF(AND(ISNUMBER(SKOR!H36),SKOR!H36=0),SKOR!H$5,"")</f>
        <v/>
      </c>
      <c r="P73" s="70" t="n">
        <f aca="false">IF(AND(ISNUMBER(SKOR!I36),SKOR!I36=0),SKOR!I$5,"")</f>
        <v>5</v>
      </c>
      <c r="Q73" s="70" t="str">
        <f aca="false">IF(AND(ISNUMBER(SKOR!J36),SKOR!J36=0),SKOR!J$5,"")</f>
        <v/>
      </c>
      <c r="R73" s="70" t="n">
        <f aca="false">IF(AND(ISNUMBER(SKOR!K36),SKOR!K36=0),SKOR!K$5,"")</f>
        <v>7</v>
      </c>
      <c r="S73" s="70" t="str">
        <f aca="false">IF(AND(ISNUMBER(SKOR!L36),SKOR!L36=0),SKOR!L$5,"")</f>
        <v/>
      </c>
      <c r="T73" s="70" t="n">
        <f aca="false">IF(AND(ISNUMBER(SKOR!M36),SKOR!M36=0),SKOR!M$5,"")</f>
        <v>9</v>
      </c>
      <c r="U73" s="70" t="str">
        <f aca="false">IF(AND(ISNUMBER(SKOR!N36),SKOR!N36=0),SKOR!N$5,"")</f>
        <v/>
      </c>
      <c r="V73" s="70" t="str">
        <f aca="false">IF(AND(ISNUMBER(SKOR!O36),SKOR!O36=0),SKOR!O$5,"")</f>
        <v/>
      </c>
      <c r="W73" s="70" t="n">
        <f aca="false">IF(AND(ISNUMBER(SKOR!P36),SKOR!P36=0),SKOR!P$5,"")</f>
        <v>12</v>
      </c>
      <c r="X73" s="70" t="n">
        <f aca="false">IF(AND(ISNUMBER(SKOR!Q36),SKOR!Q36=0),SKOR!Q$5,"")</f>
        <v>13</v>
      </c>
      <c r="Y73" s="70" t="str">
        <f aca="false">IF(AND(ISNUMBER(SKOR!R36),SKOR!R36=0),SKOR!R$5,"")</f>
        <v/>
      </c>
      <c r="Z73" s="70" t="n">
        <f aca="false">IF(AND(ISNUMBER(SKOR!S36),SKOR!S36=0),SKOR!S$5,"")</f>
        <v>15</v>
      </c>
      <c r="AA73" s="70" t="n">
        <f aca="false">IF(AND(ISNUMBER(SKOR!T36),SKOR!T36=0),SKOR!T$5,"")</f>
        <v>16</v>
      </c>
      <c r="AB73" s="70" t="str">
        <f aca="false">IF(AND(ISNUMBER(SKOR!U36),SKOR!U36=0),SKOR!U$5,"")</f>
        <v/>
      </c>
      <c r="AC73" s="70" t="n">
        <f aca="false">IF(AND(ISNUMBER(SKOR!V36),SKOR!V36=0),SKOR!V$5,"")</f>
        <v>18</v>
      </c>
      <c r="AD73" s="70" t="str">
        <f aca="false">IF(AND(ISNUMBER(SKOR!W36),SKOR!W36=0),SKOR!W$5,"")</f>
        <v/>
      </c>
      <c r="AE73" s="70" t="str">
        <f aca="false">IF(AND(ISNUMBER(SKOR!X36),SKOR!X36=0),SKOR!X$5,"")</f>
        <v/>
      </c>
      <c r="AF73" s="70" t="n">
        <f aca="false">IF(AND(ISNUMBER(SKOR!Y36),SKOR!Y36=0),SKOR!Y$5,"")</f>
        <v>21</v>
      </c>
      <c r="AG73" s="70" t="n">
        <f aca="false">IF(AND(ISNUMBER(SKOR!Z36),SKOR!Z36=0),SKOR!Z$5,"")</f>
        <v>22</v>
      </c>
      <c r="AH73" s="70" t="str">
        <f aca="false">IF(AND(ISNUMBER(SKOR!AA36),SKOR!AA36=0),SKOR!AA$5,"")</f>
        <v/>
      </c>
      <c r="AI73" s="70" t="str">
        <f aca="false">IF(AND(ISNUMBER(SKOR!AB36),SKOR!AB36=0),SKOR!AB$5,"")</f>
        <v/>
      </c>
      <c r="AJ73" s="70" t="n">
        <f aca="false">IF(AND(ISNUMBER(SKOR!AC36),SKOR!AC36=0),SKOR!AC$5,"")</f>
        <v>25</v>
      </c>
      <c r="AK73" s="70" t="n">
        <f aca="false">IF(AND(ISNUMBER(SKOR!AD36),SKOR!AD36=0),SKOR!AD$5,"")</f>
        <v>26</v>
      </c>
      <c r="AL73" s="70" t="str">
        <f aca="false">IF(AND(ISNUMBER(SKOR!AE36),SKOR!AE36=0),SKOR!AE$5,"")</f>
        <v/>
      </c>
      <c r="AM73" s="70" t="str">
        <f aca="false">IF(AND(ISNUMBER(SKOR!AF36),SKOR!AF36=0),SKOR!AF$5,"")</f>
        <v/>
      </c>
      <c r="AN73" s="70" t="n">
        <f aca="false">IF(AND(ISNUMBER(SKOR!AG36),SKOR!AG36=0),SKOR!AG$5,"")</f>
        <v>29</v>
      </c>
      <c r="AO73" s="70" t="n">
        <f aca="false">IF(AND(ISNUMBER(SKOR!AH36),SKOR!AH36=0),SKOR!AH$5,"")</f>
        <v>30</v>
      </c>
      <c r="AP73" s="70" t="n">
        <f aca="false">IF(AND(ISNUMBER(SKOR!AI36),SKOR!AI36=0),SKOR!AI$5,"")</f>
        <v>31</v>
      </c>
      <c r="AQ73" s="70" t="str">
        <f aca="false">IF(AND(ISNUMBER(SKOR!AJ36),SKOR!AJ36=0),SKOR!AJ$5,"")</f>
        <v/>
      </c>
      <c r="AR73" s="70" t="str">
        <f aca="false">IF(AND(ISNUMBER(SKOR!AK36),SKOR!AK36=0),SKOR!AK$5,"")</f>
        <v/>
      </c>
      <c r="AS73" s="70" t="str">
        <f aca="false">IF(AND(ISNUMBER(SKOR!AL36),SKOR!AL36=0),SKOR!AL$5,"")</f>
        <v/>
      </c>
      <c r="AT73" s="70" t="n">
        <f aca="false">IF(AND(ISNUMBER(SKOR!AM36),SKOR!AM36=0),SKOR!AM$5,"")</f>
        <v>35</v>
      </c>
      <c r="AU73" s="70" t="n">
        <f aca="false">IF(AND(ISNUMBER(SKOR!AN36),SKOR!AN36=0),SKOR!AN$5,"")</f>
        <v>36</v>
      </c>
      <c r="AV73" s="70" t="n">
        <f aca="false">IF(AND(ISNUMBER(SKOR!AO36),SKOR!AO36=0),SKOR!AO$5,"")</f>
        <v>37</v>
      </c>
      <c r="AW73" s="70" t="str">
        <f aca="false">IF(AND(ISNUMBER(SKOR!AP36),SKOR!AP36=0),SKOR!AP$5,"")</f>
        <v/>
      </c>
      <c r="AX73" s="70" t="str">
        <f aca="false">IF(AND(ISNUMBER(SKOR!AQ36),SKOR!AQ36=0),SKOR!AQ$5,"")</f>
        <v/>
      </c>
      <c r="AY73" s="70" t="n">
        <f aca="false">IF(AND(ISNUMBER(SKOR!AR36),SKOR!AR36=0),SKOR!AR$5,"")</f>
        <v>40</v>
      </c>
    </row>
    <row r="74" customFormat="false" ht="14.25" hidden="false" customHeight="false" outlineLevel="0" collapsed="false">
      <c r="A74" s="65" t="str">
        <f aca="false">NILAI!A37</f>
        <v/>
      </c>
      <c r="B74" s="66" t="str">
        <f aca="false">NILAI!B37</f>
        <v/>
      </c>
      <c r="C74" s="65" t="str">
        <f aca="false">NILAI!C37</f>
        <v/>
      </c>
      <c r="D74" s="56" t="str">
        <f aca="false">NILAI!F37</f>
        <v/>
      </c>
      <c r="E74" s="67" t="str">
        <f aca="false">IF(D74="","",D74-NILAI_KKM)</f>
        <v/>
      </c>
      <c r="F74" s="68" t="str">
        <f aca="false">IF(D74="","",IF(D74&lt;NILAI_KKM,"Remedial","Pengayaan"))</f>
        <v/>
      </c>
      <c r="G74" s="66" t="str">
        <f aca="false">IF(F74="","",IF(F74="Remedial",IF(D74&lt;BATAS_INTENSIF,"Remedial intensif: pembelajaran ulang + tes ulang","Remedial terbimbing: bahas butir salah + tes ulang"),IF(NILAI!I37="Atas","Pengayaan lanjut: tutor sebaya + soal HOTS","Pengayaan dasar: pendalaman + proyek")))</f>
        <v/>
      </c>
      <c r="H74" s="66" t="str">
        <f aca="false">IF(F74="","",IF(F74="Pengayaan","-",IF(_xlfn.TEXTJOIN(", ",TRUE(),$L74:$AY74)="","-",_xlfn.TEXTJOIN(", ",TRUE(),$L74:$AY74))))</f>
        <v/>
      </c>
      <c r="I74" s="69"/>
      <c r="J74" s="65" t="str">
        <f aca="false">IF(OR(F74&lt;&gt;"Remedial",I74=""),"",IF(I74&gt;=NILAI_KKM,"Tuntas","Belum tuntas"))</f>
        <v/>
      </c>
      <c r="L74" s="70" t="str">
        <f aca="false">IF(AND(ISNUMBER(SKOR!E37),SKOR!E37=0),SKOR!E$5,"")</f>
        <v/>
      </c>
      <c r="M74" s="70" t="str">
        <f aca="false">IF(AND(ISNUMBER(SKOR!F37),SKOR!F37=0),SKOR!F$5,"")</f>
        <v/>
      </c>
      <c r="N74" s="70" t="str">
        <f aca="false">IF(AND(ISNUMBER(SKOR!G37),SKOR!G37=0),SKOR!G$5,"")</f>
        <v/>
      </c>
      <c r="O74" s="70" t="str">
        <f aca="false">IF(AND(ISNUMBER(SKOR!H37),SKOR!H37=0),SKOR!H$5,"")</f>
        <v/>
      </c>
      <c r="P74" s="70" t="str">
        <f aca="false">IF(AND(ISNUMBER(SKOR!I37),SKOR!I37=0),SKOR!I$5,"")</f>
        <v/>
      </c>
      <c r="Q74" s="70" t="str">
        <f aca="false">IF(AND(ISNUMBER(SKOR!J37),SKOR!J37=0),SKOR!J$5,"")</f>
        <v/>
      </c>
      <c r="R74" s="70" t="str">
        <f aca="false">IF(AND(ISNUMBER(SKOR!K37),SKOR!K37=0),SKOR!K$5,"")</f>
        <v/>
      </c>
      <c r="S74" s="70" t="str">
        <f aca="false">IF(AND(ISNUMBER(SKOR!L37),SKOR!L37=0),SKOR!L$5,"")</f>
        <v/>
      </c>
      <c r="T74" s="70" t="str">
        <f aca="false">IF(AND(ISNUMBER(SKOR!M37),SKOR!M37=0),SKOR!M$5,"")</f>
        <v/>
      </c>
      <c r="U74" s="70" t="str">
        <f aca="false">IF(AND(ISNUMBER(SKOR!N37),SKOR!N37=0),SKOR!N$5,"")</f>
        <v/>
      </c>
      <c r="V74" s="70" t="str">
        <f aca="false">IF(AND(ISNUMBER(SKOR!O37),SKOR!O37=0),SKOR!O$5,"")</f>
        <v/>
      </c>
      <c r="W74" s="70" t="str">
        <f aca="false">IF(AND(ISNUMBER(SKOR!P37),SKOR!P37=0),SKOR!P$5,"")</f>
        <v/>
      </c>
      <c r="X74" s="70" t="str">
        <f aca="false">IF(AND(ISNUMBER(SKOR!Q37),SKOR!Q37=0),SKOR!Q$5,"")</f>
        <v/>
      </c>
      <c r="Y74" s="70" t="str">
        <f aca="false">IF(AND(ISNUMBER(SKOR!R37),SKOR!R37=0),SKOR!R$5,"")</f>
        <v/>
      </c>
      <c r="Z74" s="70" t="str">
        <f aca="false">IF(AND(ISNUMBER(SKOR!S37),SKOR!S37=0),SKOR!S$5,"")</f>
        <v/>
      </c>
      <c r="AA74" s="70" t="str">
        <f aca="false">IF(AND(ISNUMBER(SKOR!T37),SKOR!T37=0),SKOR!T$5,"")</f>
        <v/>
      </c>
      <c r="AB74" s="70" t="str">
        <f aca="false">IF(AND(ISNUMBER(SKOR!U37),SKOR!U37=0),SKOR!U$5,"")</f>
        <v/>
      </c>
      <c r="AC74" s="70" t="str">
        <f aca="false">IF(AND(ISNUMBER(SKOR!V37),SKOR!V37=0),SKOR!V$5,"")</f>
        <v/>
      </c>
      <c r="AD74" s="70" t="str">
        <f aca="false">IF(AND(ISNUMBER(SKOR!W37),SKOR!W37=0),SKOR!W$5,"")</f>
        <v/>
      </c>
      <c r="AE74" s="70" t="str">
        <f aca="false">IF(AND(ISNUMBER(SKOR!X37),SKOR!X37=0),SKOR!X$5,"")</f>
        <v/>
      </c>
      <c r="AF74" s="70" t="str">
        <f aca="false">IF(AND(ISNUMBER(SKOR!Y37),SKOR!Y37=0),SKOR!Y$5,"")</f>
        <v/>
      </c>
      <c r="AG74" s="70" t="str">
        <f aca="false">IF(AND(ISNUMBER(SKOR!Z37),SKOR!Z37=0),SKOR!Z$5,"")</f>
        <v/>
      </c>
      <c r="AH74" s="70" t="str">
        <f aca="false">IF(AND(ISNUMBER(SKOR!AA37),SKOR!AA37=0),SKOR!AA$5,"")</f>
        <v/>
      </c>
      <c r="AI74" s="70" t="str">
        <f aca="false">IF(AND(ISNUMBER(SKOR!AB37),SKOR!AB37=0),SKOR!AB$5,"")</f>
        <v/>
      </c>
      <c r="AJ74" s="70" t="str">
        <f aca="false">IF(AND(ISNUMBER(SKOR!AC37),SKOR!AC37=0),SKOR!AC$5,"")</f>
        <v/>
      </c>
      <c r="AK74" s="70" t="str">
        <f aca="false">IF(AND(ISNUMBER(SKOR!AD37),SKOR!AD37=0),SKOR!AD$5,"")</f>
        <v/>
      </c>
      <c r="AL74" s="70" t="str">
        <f aca="false">IF(AND(ISNUMBER(SKOR!AE37),SKOR!AE37=0),SKOR!AE$5,"")</f>
        <v/>
      </c>
      <c r="AM74" s="70" t="str">
        <f aca="false">IF(AND(ISNUMBER(SKOR!AF37),SKOR!AF37=0),SKOR!AF$5,"")</f>
        <v/>
      </c>
      <c r="AN74" s="70" t="str">
        <f aca="false">IF(AND(ISNUMBER(SKOR!AG37),SKOR!AG37=0),SKOR!AG$5,"")</f>
        <v/>
      </c>
      <c r="AO74" s="70" t="str">
        <f aca="false">IF(AND(ISNUMBER(SKOR!AH37),SKOR!AH37=0),SKOR!AH$5,"")</f>
        <v/>
      </c>
      <c r="AP74" s="70" t="str">
        <f aca="false">IF(AND(ISNUMBER(SKOR!AI37),SKOR!AI37=0),SKOR!AI$5,"")</f>
        <v/>
      </c>
      <c r="AQ74" s="70" t="str">
        <f aca="false">IF(AND(ISNUMBER(SKOR!AJ37),SKOR!AJ37=0),SKOR!AJ$5,"")</f>
        <v/>
      </c>
      <c r="AR74" s="70" t="str">
        <f aca="false">IF(AND(ISNUMBER(SKOR!AK37),SKOR!AK37=0),SKOR!AK$5,"")</f>
        <v/>
      </c>
      <c r="AS74" s="70" t="str">
        <f aca="false">IF(AND(ISNUMBER(SKOR!AL37),SKOR!AL37=0),SKOR!AL$5,"")</f>
        <v/>
      </c>
      <c r="AT74" s="70" t="str">
        <f aca="false">IF(AND(ISNUMBER(SKOR!AM37),SKOR!AM37=0),SKOR!AM$5,"")</f>
        <v/>
      </c>
      <c r="AU74" s="70" t="str">
        <f aca="false">IF(AND(ISNUMBER(SKOR!AN37),SKOR!AN37=0),SKOR!AN$5,"")</f>
        <v/>
      </c>
      <c r="AV74" s="70" t="str">
        <f aca="false">IF(AND(ISNUMBER(SKOR!AO37),SKOR!AO37=0),SKOR!AO$5,"")</f>
        <v/>
      </c>
      <c r="AW74" s="70" t="str">
        <f aca="false">IF(AND(ISNUMBER(SKOR!AP37),SKOR!AP37=0),SKOR!AP$5,"")</f>
        <v/>
      </c>
      <c r="AX74" s="70" t="str">
        <f aca="false">IF(AND(ISNUMBER(SKOR!AQ37),SKOR!AQ37=0),SKOR!AQ$5,"")</f>
        <v/>
      </c>
      <c r="AY74" s="70" t="str">
        <f aca="false">IF(AND(ISNUMBER(SKOR!AR37),SKOR!AR37=0),SKOR!AR$5,"")</f>
        <v/>
      </c>
    </row>
    <row r="75" customFormat="false" ht="14.25" hidden="false" customHeight="false" outlineLevel="0" collapsed="false">
      <c r="A75" s="65" t="str">
        <f aca="false">NILAI!A38</f>
        <v/>
      </c>
      <c r="B75" s="66" t="str">
        <f aca="false">NILAI!B38</f>
        <v/>
      </c>
      <c r="C75" s="65" t="str">
        <f aca="false">NILAI!C38</f>
        <v/>
      </c>
      <c r="D75" s="56" t="str">
        <f aca="false">NILAI!F38</f>
        <v/>
      </c>
      <c r="E75" s="67" t="str">
        <f aca="false">IF(D75="","",D75-NILAI_KKM)</f>
        <v/>
      </c>
      <c r="F75" s="68" t="str">
        <f aca="false">IF(D75="","",IF(D75&lt;NILAI_KKM,"Remedial","Pengayaan"))</f>
        <v/>
      </c>
      <c r="G75" s="66" t="str">
        <f aca="false">IF(F75="","",IF(F75="Remedial",IF(D75&lt;BATAS_INTENSIF,"Remedial intensif: pembelajaran ulang + tes ulang","Remedial terbimbing: bahas butir salah + tes ulang"),IF(NILAI!I38="Atas","Pengayaan lanjut: tutor sebaya + soal HOTS","Pengayaan dasar: pendalaman + proyek")))</f>
        <v/>
      </c>
      <c r="H75" s="66" t="str">
        <f aca="false">IF(F75="","",IF(F75="Pengayaan","-",IF(_xlfn.TEXTJOIN(", ",TRUE(),$L75:$AY75)="","-",_xlfn.TEXTJOIN(", ",TRUE(),$L75:$AY75))))</f>
        <v/>
      </c>
      <c r="I75" s="69"/>
      <c r="J75" s="65" t="str">
        <f aca="false">IF(OR(F75&lt;&gt;"Remedial",I75=""),"",IF(I75&gt;=NILAI_KKM,"Tuntas","Belum tuntas"))</f>
        <v/>
      </c>
      <c r="L75" s="70" t="str">
        <f aca="false">IF(AND(ISNUMBER(SKOR!E38),SKOR!E38=0),SKOR!E$5,"")</f>
        <v/>
      </c>
      <c r="M75" s="70" t="str">
        <f aca="false">IF(AND(ISNUMBER(SKOR!F38),SKOR!F38=0),SKOR!F$5,"")</f>
        <v/>
      </c>
      <c r="N75" s="70" t="str">
        <f aca="false">IF(AND(ISNUMBER(SKOR!G38),SKOR!G38=0),SKOR!G$5,"")</f>
        <v/>
      </c>
      <c r="O75" s="70" t="str">
        <f aca="false">IF(AND(ISNUMBER(SKOR!H38),SKOR!H38=0),SKOR!H$5,"")</f>
        <v/>
      </c>
      <c r="P75" s="70" t="str">
        <f aca="false">IF(AND(ISNUMBER(SKOR!I38),SKOR!I38=0),SKOR!I$5,"")</f>
        <v/>
      </c>
      <c r="Q75" s="70" t="str">
        <f aca="false">IF(AND(ISNUMBER(SKOR!J38),SKOR!J38=0),SKOR!J$5,"")</f>
        <v/>
      </c>
      <c r="R75" s="70" t="str">
        <f aca="false">IF(AND(ISNUMBER(SKOR!K38),SKOR!K38=0),SKOR!K$5,"")</f>
        <v/>
      </c>
      <c r="S75" s="70" t="str">
        <f aca="false">IF(AND(ISNUMBER(SKOR!L38),SKOR!L38=0),SKOR!L$5,"")</f>
        <v/>
      </c>
      <c r="T75" s="70" t="str">
        <f aca="false">IF(AND(ISNUMBER(SKOR!M38),SKOR!M38=0),SKOR!M$5,"")</f>
        <v/>
      </c>
      <c r="U75" s="70" t="str">
        <f aca="false">IF(AND(ISNUMBER(SKOR!N38),SKOR!N38=0),SKOR!N$5,"")</f>
        <v/>
      </c>
      <c r="V75" s="70" t="str">
        <f aca="false">IF(AND(ISNUMBER(SKOR!O38),SKOR!O38=0),SKOR!O$5,"")</f>
        <v/>
      </c>
      <c r="W75" s="70" t="str">
        <f aca="false">IF(AND(ISNUMBER(SKOR!P38),SKOR!P38=0),SKOR!P$5,"")</f>
        <v/>
      </c>
      <c r="X75" s="70" t="str">
        <f aca="false">IF(AND(ISNUMBER(SKOR!Q38),SKOR!Q38=0),SKOR!Q$5,"")</f>
        <v/>
      </c>
      <c r="Y75" s="70" t="str">
        <f aca="false">IF(AND(ISNUMBER(SKOR!R38),SKOR!R38=0),SKOR!R$5,"")</f>
        <v/>
      </c>
      <c r="Z75" s="70" t="str">
        <f aca="false">IF(AND(ISNUMBER(SKOR!S38),SKOR!S38=0),SKOR!S$5,"")</f>
        <v/>
      </c>
      <c r="AA75" s="70" t="str">
        <f aca="false">IF(AND(ISNUMBER(SKOR!T38),SKOR!T38=0),SKOR!T$5,"")</f>
        <v/>
      </c>
      <c r="AB75" s="70" t="str">
        <f aca="false">IF(AND(ISNUMBER(SKOR!U38),SKOR!U38=0),SKOR!U$5,"")</f>
        <v/>
      </c>
      <c r="AC75" s="70" t="str">
        <f aca="false">IF(AND(ISNUMBER(SKOR!V38),SKOR!V38=0),SKOR!V$5,"")</f>
        <v/>
      </c>
      <c r="AD75" s="70" t="str">
        <f aca="false">IF(AND(ISNUMBER(SKOR!W38),SKOR!W38=0),SKOR!W$5,"")</f>
        <v/>
      </c>
      <c r="AE75" s="70" t="str">
        <f aca="false">IF(AND(ISNUMBER(SKOR!X38),SKOR!X38=0),SKOR!X$5,"")</f>
        <v/>
      </c>
      <c r="AF75" s="70" t="str">
        <f aca="false">IF(AND(ISNUMBER(SKOR!Y38),SKOR!Y38=0),SKOR!Y$5,"")</f>
        <v/>
      </c>
      <c r="AG75" s="70" t="str">
        <f aca="false">IF(AND(ISNUMBER(SKOR!Z38),SKOR!Z38=0),SKOR!Z$5,"")</f>
        <v/>
      </c>
      <c r="AH75" s="70" t="str">
        <f aca="false">IF(AND(ISNUMBER(SKOR!AA38),SKOR!AA38=0),SKOR!AA$5,"")</f>
        <v/>
      </c>
      <c r="AI75" s="70" t="str">
        <f aca="false">IF(AND(ISNUMBER(SKOR!AB38),SKOR!AB38=0),SKOR!AB$5,"")</f>
        <v/>
      </c>
      <c r="AJ75" s="70" t="str">
        <f aca="false">IF(AND(ISNUMBER(SKOR!AC38),SKOR!AC38=0),SKOR!AC$5,"")</f>
        <v/>
      </c>
      <c r="AK75" s="70" t="str">
        <f aca="false">IF(AND(ISNUMBER(SKOR!AD38),SKOR!AD38=0),SKOR!AD$5,"")</f>
        <v/>
      </c>
      <c r="AL75" s="70" t="str">
        <f aca="false">IF(AND(ISNUMBER(SKOR!AE38),SKOR!AE38=0),SKOR!AE$5,"")</f>
        <v/>
      </c>
      <c r="AM75" s="70" t="str">
        <f aca="false">IF(AND(ISNUMBER(SKOR!AF38),SKOR!AF38=0),SKOR!AF$5,"")</f>
        <v/>
      </c>
      <c r="AN75" s="70" t="str">
        <f aca="false">IF(AND(ISNUMBER(SKOR!AG38),SKOR!AG38=0),SKOR!AG$5,"")</f>
        <v/>
      </c>
      <c r="AO75" s="70" t="str">
        <f aca="false">IF(AND(ISNUMBER(SKOR!AH38),SKOR!AH38=0),SKOR!AH$5,"")</f>
        <v/>
      </c>
      <c r="AP75" s="70" t="str">
        <f aca="false">IF(AND(ISNUMBER(SKOR!AI38),SKOR!AI38=0),SKOR!AI$5,"")</f>
        <v/>
      </c>
      <c r="AQ75" s="70" t="str">
        <f aca="false">IF(AND(ISNUMBER(SKOR!AJ38),SKOR!AJ38=0),SKOR!AJ$5,"")</f>
        <v/>
      </c>
      <c r="AR75" s="70" t="str">
        <f aca="false">IF(AND(ISNUMBER(SKOR!AK38),SKOR!AK38=0),SKOR!AK$5,"")</f>
        <v/>
      </c>
      <c r="AS75" s="70" t="str">
        <f aca="false">IF(AND(ISNUMBER(SKOR!AL38),SKOR!AL38=0),SKOR!AL$5,"")</f>
        <v/>
      </c>
      <c r="AT75" s="70" t="str">
        <f aca="false">IF(AND(ISNUMBER(SKOR!AM38),SKOR!AM38=0),SKOR!AM$5,"")</f>
        <v/>
      </c>
      <c r="AU75" s="70" t="str">
        <f aca="false">IF(AND(ISNUMBER(SKOR!AN38),SKOR!AN38=0),SKOR!AN$5,"")</f>
        <v/>
      </c>
      <c r="AV75" s="70" t="str">
        <f aca="false">IF(AND(ISNUMBER(SKOR!AO38),SKOR!AO38=0),SKOR!AO$5,"")</f>
        <v/>
      </c>
      <c r="AW75" s="70" t="str">
        <f aca="false">IF(AND(ISNUMBER(SKOR!AP38),SKOR!AP38=0),SKOR!AP$5,"")</f>
        <v/>
      </c>
      <c r="AX75" s="70" t="str">
        <f aca="false">IF(AND(ISNUMBER(SKOR!AQ38),SKOR!AQ38=0),SKOR!AQ$5,"")</f>
        <v/>
      </c>
      <c r="AY75" s="70" t="str">
        <f aca="false">IF(AND(ISNUMBER(SKOR!AR38),SKOR!AR38=0),SKOR!AR$5,"")</f>
        <v/>
      </c>
    </row>
    <row r="76" customFormat="false" ht="14.25" hidden="false" customHeight="false" outlineLevel="0" collapsed="false">
      <c r="A76" s="65" t="str">
        <f aca="false">NILAI!A39</f>
        <v/>
      </c>
      <c r="B76" s="66" t="str">
        <f aca="false">NILAI!B39</f>
        <v/>
      </c>
      <c r="C76" s="65" t="str">
        <f aca="false">NILAI!C39</f>
        <v/>
      </c>
      <c r="D76" s="56" t="str">
        <f aca="false">NILAI!F39</f>
        <v/>
      </c>
      <c r="E76" s="67" t="str">
        <f aca="false">IF(D76="","",D76-NILAI_KKM)</f>
        <v/>
      </c>
      <c r="F76" s="68" t="str">
        <f aca="false">IF(D76="","",IF(D76&lt;NILAI_KKM,"Remedial","Pengayaan"))</f>
        <v/>
      </c>
      <c r="G76" s="66" t="str">
        <f aca="false">IF(F76="","",IF(F76="Remedial",IF(D76&lt;BATAS_INTENSIF,"Remedial intensif: pembelajaran ulang + tes ulang","Remedial terbimbing: bahas butir salah + tes ulang"),IF(NILAI!I39="Atas","Pengayaan lanjut: tutor sebaya + soal HOTS","Pengayaan dasar: pendalaman + proyek")))</f>
        <v/>
      </c>
      <c r="H76" s="66" t="str">
        <f aca="false">IF(F76="","",IF(F76="Pengayaan","-",IF(_xlfn.TEXTJOIN(", ",TRUE(),$L76:$AY76)="","-",_xlfn.TEXTJOIN(", ",TRUE(),$L76:$AY76))))</f>
        <v/>
      </c>
      <c r="I76" s="69"/>
      <c r="J76" s="65" t="str">
        <f aca="false">IF(OR(F76&lt;&gt;"Remedial",I76=""),"",IF(I76&gt;=NILAI_KKM,"Tuntas","Belum tuntas"))</f>
        <v/>
      </c>
      <c r="L76" s="70" t="str">
        <f aca="false">IF(AND(ISNUMBER(SKOR!E39),SKOR!E39=0),SKOR!E$5,"")</f>
        <v/>
      </c>
      <c r="M76" s="70" t="str">
        <f aca="false">IF(AND(ISNUMBER(SKOR!F39),SKOR!F39=0),SKOR!F$5,"")</f>
        <v/>
      </c>
      <c r="N76" s="70" t="str">
        <f aca="false">IF(AND(ISNUMBER(SKOR!G39),SKOR!G39=0),SKOR!G$5,"")</f>
        <v/>
      </c>
      <c r="O76" s="70" t="str">
        <f aca="false">IF(AND(ISNUMBER(SKOR!H39),SKOR!H39=0),SKOR!H$5,"")</f>
        <v/>
      </c>
      <c r="P76" s="70" t="str">
        <f aca="false">IF(AND(ISNUMBER(SKOR!I39),SKOR!I39=0),SKOR!I$5,"")</f>
        <v/>
      </c>
      <c r="Q76" s="70" t="str">
        <f aca="false">IF(AND(ISNUMBER(SKOR!J39),SKOR!J39=0),SKOR!J$5,"")</f>
        <v/>
      </c>
      <c r="R76" s="70" t="str">
        <f aca="false">IF(AND(ISNUMBER(SKOR!K39),SKOR!K39=0),SKOR!K$5,"")</f>
        <v/>
      </c>
      <c r="S76" s="70" t="str">
        <f aca="false">IF(AND(ISNUMBER(SKOR!L39),SKOR!L39=0),SKOR!L$5,"")</f>
        <v/>
      </c>
      <c r="T76" s="70" t="str">
        <f aca="false">IF(AND(ISNUMBER(SKOR!M39),SKOR!M39=0),SKOR!M$5,"")</f>
        <v/>
      </c>
      <c r="U76" s="70" t="str">
        <f aca="false">IF(AND(ISNUMBER(SKOR!N39),SKOR!N39=0),SKOR!N$5,"")</f>
        <v/>
      </c>
      <c r="V76" s="70" t="str">
        <f aca="false">IF(AND(ISNUMBER(SKOR!O39),SKOR!O39=0),SKOR!O$5,"")</f>
        <v/>
      </c>
      <c r="W76" s="70" t="str">
        <f aca="false">IF(AND(ISNUMBER(SKOR!P39),SKOR!P39=0),SKOR!P$5,"")</f>
        <v/>
      </c>
      <c r="X76" s="70" t="str">
        <f aca="false">IF(AND(ISNUMBER(SKOR!Q39),SKOR!Q39=0),SKOR!Q$5,"")</f>
        <v/>
      </c>
      <c r="Y76" s="70" t="str">
        <f aca="false">IF(AND(ISNUMBER(SKOR!R39),SKOR!R39=0),SKOR!R$5,"")</f>
        <v/>
      </c>
      <c r="Z76" s="70" t="str">
        <f aca="false">IF(AND(ISNUMBER(SKOR!S39),SKOR!S39=0),SKOR!S$5,"")</f>
        <v/>
      </c>
      <c r="AA76" s="70" t="str">
        <f aca="false">IF(AND(ISNUMBER(SKOR!T39),SKOR!T39=0),SKOR!T$5,"")</f>
        <v/>
      </c>
      <c r="AB76" s="70" t="str">
        <f aca="false">IF(AND(ISNUMBER(SKOR!U39),SKOR!U39=0),SKOR!U$5,"")</f>
        <v/>
      </c>
      <c r="AC76" s="70" t="str">
        <f aca="false">IF(AND(ISNUMBER(SKOR!V39),SKOR!V39=0),SKOR!V$5,"")</f>
        <v/>
      </c>
      <c r="AD76" s="70" t="str">
        <f aca="false">IF(AND(ISNUMBER(SKOR!W39),SKOR!W39=0),SKOR!W$5,"")</f>
        <v/>
      </c>
      <c r="AE76" s="70" t="str">
        <f aca="false">IF(AND(ISNUMBER(SKOR!X39),SKOR!X39=0),SKOR!X$5,"")</f>
        <v/>
      </c>
      <c r="AF76" s="70" t="str">
        <f aca="false">IF(AND(ISNUMBER(SKOR!Y39),SKOR!Y39=0),SKOR!Y$5,"")</f>
        <v/>
      </c>
      <c r="AG76" s="70" t="str">
        <f aca="false">IF(AND(ISNUMBER(SKOR!Z39),SKOR!Z39=0),SKOR!Z$5,"")</f>
        <v/>
      </c>
      <c r="AH76" s="70" t="str">
        <f aca="false">IF(AND(ISNUMBER(SKOR!AA39),SKOR!AA39=0),SKOR!AA$5,"")</f>
        <v/>
      </c>
      <c r="AI76" s="70" t="str">
        <f aca="false">IF(AND(ISNUMBER(SKOR!AB39),SKOR!AB39=0),SKOR!AB$5,"")</f>
        <v/>
      </c>
      <c r="AJ76" s="70" t="str">
        <f aca="false">IF(AND(ISNUMBER(SKOR!AC39),SKOR!AC39=0),SKOR!AC$5,"")</f>
        <v/>
      </c>
      <c r="AK76" s="70" t="str">
        <f aca="false">IF(AND(ISNUMBER(SKOR!AD39),SKOR!AD39=0),SKOR!AD$5,"")</f>
        <v/>
      </c>
      <c r="AL76" s="70" t="str">
        <f aca="false">IF(AND(ISNUMBER(SKOR!AE39),SKOR!AE39=0),SKOR!AE$5,"")</f>
        <v/>
      </c>
      <c r="AM76" s="70" t="str">
        <f aca="false">IF(AND(ISNUMBER(SKOR!AF39),SKOR!AF39=0),SKOR!AF$5,"")</f>
        <v/>
      </c>
      <c r="AN76" s="70" t="str">
        <f aca="false">IF(AND(ISNUMBER(SKOR!AG39),SKOR!AG39=0),SKOR!AG$5,"")</f>
        <v/>
      </c>
      <c r="AO76" s="70" t="str">
        <f aca="false">IF(AND(ISNUMBER(SKOR!AH39),SKOR!AH39=0),SKOR!AH$5,"")</f>
        <v/>
      </c>
      <c r="AP76" s="70" t="str">
        <f aca="false">IF(AND(ISNUMBER(SKOR!AI39),SKOR!AI39=0),SKOR!AI$5,"")</f>
        <v/>
      </c>
      <c r="AQ76" s="70" t="str">
        <f aca="false">IF(AND(ISNUMBER(SKOR!AJ39),SKOR!AJ39=0),SKOR!AJ$5,"")</f>
        <v/>
      </c>
      <c r="AR76" s="70" t="str">
        <f aca="false">IF(AND(ISNUMBER(SKOR!AK39),SKOR!AK39=0),SKOR!AK$5,"")</f>
        <v/>
      </c>
      <c r="AS76" s="70" t="str">
        <f aca="false">IF(AND(ISNUMBER(SKOR!AL39),SKOR!AL39=0),SKOR!AL$5,"")</f>
        <v/>
      </c>
      <c r="AT76" s="70" t="str">
        <f aca="false">IF(AND(ISNUMBER(SKOR!AM39),SKOR!AM39=0),SKOR!AM$5,"")</f>
        <v/>
      </c>
      <c r="AU76" s="70" t="str">
        <f aca="false">IF(AND(ISNUMBER(SKOR!AN39),SKOR!AN39=0),SKOR!AN$5,"")</f>
        <v/>
      </c>
      <c r="AV76" s="70" t="str">
        <f aca="false">IF(AND(ISNUMBER(SKOR!AO39),SKOR!AO39=0),SKOR!AO$5,"")</f>
        <v/>
      </c>
      <c r="AW76" s="70" t="str">
        <f aca="false">IF(AND(ISNUMBER(SKOR!AP39),SKOR!AP39=0),SKOR!AP$5,"")</f>
        <v/>
      </c>
      <c r="AX76" s="70" t="str">
        <f aca="false">IF(AND(ISNUMBER(SKOR!AQ39),SKOR!AQ39=0),SKOR!AQ$5,"")</f>
        <v/>
      </c>
      <c r="AY76" s="70" t="str">
        <f aca="false">IF(AND(ISNUMBER(SKOR!AR39),SKOR!AR39=0),SKOR!AR$5,"")</f>
        <v/>
      </c>
    </row>
    <row r="77" customFormat="false" ht="14.25" hidden="false" customHeight="false" outlineLevel="0" collapsed="false">
      <c r="A77" s="65" t="str">
        <f aca="false">NILAI!A40</f>
        <v/>
      </c>
      <c r="B77" s="66" t="str">
        <f aca="false">NILAI!B40</f>
        <v/>
      </c>
      <c r="C77" s="65" t="str">
        <f aca="false">NILAI!C40</f>
        <v/>
      </c>
      <c r="D77" s="56" t="str">
        <f aca="false">NILAI!F40</f>
        <v/>
      </c>
      <c r="E77" s="67" t="str">
        <f aca="false">IF(D77="","",D77-NILAI_KKM)</f>
        <v/>
      </c>
      <c r="F77" s="68" t="str">
        <f aca="false">IF(D77="","",IF(D77&lt;NILAI_KKM,"Remedial","Pengayaan"))</f>
        <v/>
      </c>
      <c r="G77" s="66" t="str">
        <f aca="false">IF(F77="","",IF(F77="Remedial",IF(D77&lt;BATAS_INTENSIF,"Remedial intensif: pembelajaran ulang + tes ulang","Remedial terbimbing: bahas butir salah + tes ulang"),IF(NILAI!I40="Atas","Pengayaan lanjut: tutor sebaya + soal HOTS","Pengayaan dasar: pendalaman + proyek")))</f>
        <v/>
      </c>
      <c r="H77" s="66" t="str">
        <f aca="false">IF(F77="","",IF(F77="Pengayaan","-",IF(_xlfn.TEXTJOIN(", ",TRUE(),$L77:$AY77)="","-",_xlfn.TEXTJOIN(", ",TRUE(),$L77:$AY77))))</f>
        <v/>
      </c>
      <c r="I77" s="69"/>
      <c r="J77" s="65" t="str">
        <f aca="false">IF(OR(F77&lt;&gt;"Remedial",I77=""),"",IF(I77&gt;=NILAI_KKM,"Tuntas","Belum tuntas"))</f>
        <v/>
      </c>
      <c r="L77" s="70" t="str">
        <f aca="false">IF(AND(ISNUMBER(SKOR!E40),SKOR!E40=0),SKOR!E$5,"")</f>
        <v/>
      </c>
      <c r="M77" s="70" t="str">
        <f aca="false">IF(AND(ISNUMBER(SKOR!F40),SKOR!F40=0),SKOR!F$5,"")</f>
        <v/>
      </c>
      <c r="N77" s="70" t="str">
        <f aca="false">IF(AND(ISNUMBER(SKOR!G40),SKOR!G40=0),SKOR!G$5,"")</f>
        <v/>
      </c>
      <c r="O77" s="70" t="str">
        <f aca="false">IF(AND(ISNUMBER(SKOR!H40),SKOR!H40=0),SKOR!H$5,"")</f>
        <v/>
      </c>
      <c r="P77" s="70" t="str">
        <f aca="false">IF(AND(ISNUMBER(SKOR!I40),SKOR!I40=0),SKOR!I$5,"")</f>
        <v/>
      </c>
      <c r="Q77" s="70" t="str">
        <f aca="false">IF(AND(ISNUMBER(SKOR!J40),SKOR!J40=0),SKOR!J$5,"")</f>
        <v/>
      </c>
      <c r="R77" s="70" t="str">
        <f aca="false">IF(AND(ISNUMBER(SKOR!K40),SKOR!K40=0),SKOR!K$5,"")</f>
        <v/>
      </c>
      <c r="S77" s="70" t="str">
        <f aca="false">IF(AND(ISNUMBER(SKOR!L40),SKOR!L40=0),SKOR!L$5,"")</f>
        <v/>
      </c>
      <c r="T77" s="70" t="str">
        <f aca="false">IF(AND(ISNUMBER(SKOR!M40),SKOR!M40=0),SKOR!M$5,"")</f>
        <v/>
      </c>
      <c r="U77" s="70" t="str">
        <f aca="false">IF(AND(ISNUMBER(SKOR!N40),SKOR!N40=0),SKOR!N$5,"")</f>
        <v/>
      </c>
      <c r="V77" s="70" t="str">
        <f aca="false">IF(AND(ISNUMBER(SKOR!O40),SKOR!O40=0),SKOR!O$5,"")</f>
        <v/>
      </c>
      <c r="W77" s="70" t="str">
        <f aca="false">IF(AND(ISNUMBER(SKOR!P40),SKOR!P40=0),SKOR!P$5,"")</f>
        <v/>
      </c>
      <c r="X77" s="70" t="str">
        <f aca="false">IF(AND(ISNUMBER(SKOR!Q40),SKOR!Q40=0),SKOR!Q$5,"")</f>
        <v/>
      </c>
      <c r="Y77" s="70" t="str">
        <f aca="false">IF(AND(ISNUMBER(SKOR!R40),SKOR!R40=0),SKOR!R$5,"")</f>
        <v/>
      </c>
      <c r="Z77" s="70" t="str">
        <f aca="false">IF(AND(ISNUMBER(SKOR!S40),SKOR!S40=0),SKOR!S$5,"")</f>
        <v/>
      </c>
      <c r="AA77" s="70" t="str">
        <f aca="false">IF(AND(ISNUMBER(SKOR!T40),SKOR!T40=0),SKOR!T$5,"")</f>
        <v/>
      </c>
      <c r="AB77" s="70" t="str">
        <f aca="false">IF(AND(ISNUMBER(SKOR!U40),SKOR!U40=0),SKOR!U$5,"")</f>
        <v/>
      </c>
      <c r="AC77" s="70" t="str">
        <f aca="false">IF(AND(ISNUMBER(SKOR!V40),SKOR!V40=0),SKOR!V$5,"")</f>
        <v/>
      </c>
      <c r="AD77" s="70" t="str">
        <f aca="false">IF(AND(ISNUMBER(SKOR!W40),SKOR!W40=0),SKOR!W$5,"")</f>
        <v/>
      </c>
      <c r="AE77" s="70" t="str">
        <f aca="false">IF(AND(ISNUMBER(SKOR!X40),SKOR!X40=0),SKOR!X$5,"")</f>
        <v/>
      </c>
      <c r="AF77" s="70" t="str">
        <f aca="false">IF(AND(ISNUMBER(SKOR!Y40),SKOR!Y40=0),SKOR!Y$5,"")</f>
        <v/>
      </c>
      <c r="AG77" s="70" t="str">
        <f aca="false">IF(AND(ISNUMBER(SKOR!Z40),SKOR!Z40=0),SKOR!Z$5,"")</f>
        <v/>
      </c>
      <c r="AH77" s="70" t="str">
        <f aca="false">IF(AND(ISNUMBER(SKOR!AA40),SKOR!AA40=0),SKOR!AA$5,"")</f>
        <v/>
      </c>
      <c r="AI77" s="70" t="str">
        <f aca="false">IF(AND(ISNUMBER(SKOR!AB40),SKOR!AB40=0),SKOR!AB$5,"")</f>
        <v/>
      </c>
      <c r="AJ77" s="70" t="str">
        <f aca="false">IF(AND(ISNUMBER(SKOR!AC40),SKOR!AC40=0),SKOR!AC$5,"")</f>
        <v/>
      </c>
      <c r="AK77" s="70" t="str">
        <f aca="false">IF(AND(ISNUMBER(SKOR!AD40),SKOR!AD40=0),SKOR!AD$5,"")</f>
        <v/>
      </c>
      <c r="AL77" s="70" t="str">
        <f aca="false">IF(AND(ISNUMBER(SKOR!AE40),SKOR!AE40=0),SKOR!AE$5,"")</f>
        <v/>
      </c>
      <c r="AM77" s="70" t="str">
        <f aca="false">IF(AND(ISNUMBER(SKOR!AF40),SKOR!AF40=0),SKOR!AF$5,"")</f>
        <v/>
      </c>
      <c r="AN77" s="70" t="str">
        <f aca="false">IF(AND(ISNUMBER(SKOR!AG40),SKOR!AG40=0),SKOR!AG$5,"")</f>
        <v/>
      </c>
      <c r="AO77" s="70" t="str">
        <f aca="false">IF(AND(ISNUMBER(SKOR!AH40),SKOR!AH40=0),SKOR!AH$5,"")</f>
        <v/>
      </c>
      <c r="AP77" s="70" t="str">
        <f aca="false">IF(AND(ISNUMBER(SKOR!AI40),SKOR!AI40=0),SKOR!AI$5,"")</f>
        <v/>
      </c>
      <c r="AQ77" s="70" t="str">
        <f aca="false">IF(AND(ISNUMBER(SKOR!AJ40),SKOR!AJ40=0),SKOR!AJ$5,"")</f>
        <v/>
      </c>
      <c r="AR77" s="70" t="str">
        <f aca="false">IF(AND(ISNUMBER(SKOR!AK40),SKOR!AK40=0),SKOR!AK$5,"")</f>
        <v/>
      </c>
      <c r="AS77" s="70" t="str">
        <f aca="false">IF(AND(ISNUMBER(SKOR!AL40),SKOR!AL40=0),SKOR!AL$5,"")</f>
        <v/>
      </c>
      <c r="AT77" s="70" t="str">
        <f aca="false">IF(AND(ISNUMBER(SKOR!AM40),SKOR!AM40=0),SKOR!AM$5,"")</f>
        <v/>
      </c>
      <c r="AU77" s="70" t="str">
        <f aca="false">IF(AND(ISNUMBER(SKOR!AN40),SKOR!AN40=0),SKOR!AN$5,"")</f>
        <v/>
      </c>
      <c r="AV77" s="70" t="str">
        <f aca="false">IF(AND(ISNUMBER(SKOR!AO40),SKOR!AO40=0),SKOR!AO$5,"")</f>
        <v/>
      </c>
      <c r="AW77" s="70" t="str">
        <f aca="false">IF(AND(ISNUMBER(SKOR!AP40),SKOR!AP40=0),SKOR!AP$5,"")</f>
        <v/>
      </c>
      <c r="AX77" s="70" t="str">
        <f aca="false">IF(AND(ISNUMBER(SKOR!AQ40),SKOR!AQ40=0),SKOR!AQ$5,"")</f>
        <v/>
      </c>
      <c r="AY77" s="70" t="str">
        <f aca="false">IF(AND(ISNUMBER(SKOR!AR40),SKOR!AR40=0),SKOR!AR$5,"")</f>
        <v/>
      </c>
    </row>
    <row r="78" customFormat="false" ht="14.25" hidden="false" customHeight="false" outlineLevel="0" collapsed="false">
      <c r="A78" s="65" t="str">
        <f aca="false">NILAI!A41</f>
        <v/>
      </c>
      <c r="B78" s="66" t="str">
        <f aca="false">NILAI!B41</f>
        <v/>
      </c>
      <c r="C78" s="65" t="str">
        <f aca="false">NILAI!C41</f>
        <v/>
      </c>
      <c r="D78" s="56" t="str">
        <f aca="false">NILAI!F41</f>
        <v/>
      </c>
      <c r="E78" s="67" t="str">
        <f aca="false">IF(D78="","",D78-NILAI_KKM)</f>
        <v/>
      </c>
      <c r="F78" s="68" t="str">
        <f aca="false">IF(D78="","",IF(D78&lt;NILAI_KKM,"Remedial","Pengayaan"))</f>
        <v/>
      </c>
      <c r="G78" s="66" t="str">
        <f aca="false">IF(F78="","",IF(F78="Remedial",IF(D78&lt;BATAS_INTENSIF,"Remedial intensif: pembelajaran ulang + tes ulang","Remedial terbimbing: bahas butir salah + tes ulang"),IF(NILAI!I41="Atas","Pengayaan lanjut: tutor sebaya + soal HOTS","Pengayaan dasar: pendalaman + proyek")))</f>
        <v/>
      </c>
      <c r="H78" s="66" t="str">
        <f aca="false">IF(F78="","",IF(F78="Pengayaan","-",IF(_xlfn.TEXTJOIN(", ",TRUE(),$L78:$AY78)="","-",_xlfn.TEXTJOIN(", ",TRUE(),$L78:$AY78))))</f>
        <v/>
      </c>
      <c r="I78" s="69"/>
      <c r="J78" s="65" t="str">
        <f aca="false">IF(OR(F78&lt;&gt;"Remedial",I78=""),"",IF(I78&gt;=NILAI_KKM,"Tuntas","Belum tuntas"))</f>
        <v/>
      </c>
      <c r="L78" s="70" t="str">
        <f aca="false">IF(AND(ISNUMBER(SKOR!E41),SKOR!E41=0),SKOR!E$5,"")</f>
        <v/>
      </c>
      <c r="M78" s="70" t="str">
        <f aca="false">IF(AND(ISNUMBER(SKOR!F41),SKOR!F41=0),SKOR!F$5,"")</f>
        <v/>
      </c>
      <c r="N78" s="70" t="str">
        <f aca="false">IF(AND(ISNUMBER(SKOR!G41),SKOR!G41=0),SKOR!G$5,"")</f>
        <v/>
      </c>
      <c r="O78" s="70" t="str">
        <f aca="false">IF(AND(ISNUMBER(SKOR!H41),SKOR!H41=0),SKOR!H$5,"")</f>
        <v/>
      </c>
      <c r="P78" s="70" t="str">
        <f aca="false">IF(AND(ISNUMBER(SKOR!I41),SKOR!I41=0),SKOR!I$5,"")</f>
        <v/>
      </c>
      <c r="Q78" s="70" t="str">
        <f aca="false">IF(AND(ISNUMBER(SKOR!J41),SKOR!J41=0),SKOR!J$5,"")</f>
        <v/>
      </c>
      <c r="R78" s="70" t="str">
        <f aca="false">IF(AND(ISNUMBER(SKOR!K41),SKOR!K41=0),SKOR!K$5,"")</f>
        <v/>
      </c>
      <c r="S78" s="70" t="str">
        <f aca="false">IF(AND(ISNUMBER(SKOR!L41),SKOR!L41=0),SKOR!L$5,"")</f>
        <v/>
      </c>
      <c r="T78" s="70" t="str">
        <f aca="false">IF(AND(ISNUMBER(SKOR!M41),SKOR!M41=0),SKOR!M$5,"")</f>
        <v/>
      </c>
      <c r="U78" s="70" t="str">
        <f aca="false">IF(AND(ISNUMBER(SKOR!N41),SKOR!N41=0),SKOR!N$5,"")</f>
        <v/>
      </c>
      <c r="V78" s="70" t="str">
        <f aca="false">IF(AND(ISNUMBER(SKOR!O41),SKOR!O41=0),SKOR!O$5,"")</f>
        <v/>
      </c>
      <c r="W78" s="70" t="str">
        <f aca="false">IF(AND(ISNUMBER(SKOR!P41),SKOR!P41=0),SKOR!P$5,"")</f>
        <v/>
      </c>
      <c r="X78" s="70" t="str">
        <f aca="false">IF(AND(ISNUMBER(SKOR!Q41),SKOR!Q41=0),SKOR!Q$5,"")</f>
        <v/>
      </c>
      <c r="Y78" s="70" t="str">
        <f aca="false">IF(AND(ISNUMBER(SKOR!R41),SKOR!R41=0),SKOR!R$5,"")</f>
        <v/>
      </c>
      <c r="Z78" s="70" t="str">
        <f aca="false">IF(AND(ISNUMBER(SKOR!S41),SKOR!S41=0),SKOR!S$5,"")</f>
        <v/>
      </c>
      <c r="AA78" s="70" t="str">
        <f aca="false">IF(AND(ISNUMBER(SKOR!T41),SKOR!T41=0),SKOR!T$5,"")</f>
        <v/>
      </c>
      <c r="AB78" s="70" t="str">
        <f aca="false">IF(AND(ISNUMBER(SKOR!U41),SKOR!U41=0),SKOR!U$5,"")</f>
        <v/>
      </c>
      <c r="AC78" s="70" t="str">
        <f aca="false">IF(AND(ISNUMBER(SKOR!V41),SKOR!V41=0),SKOR!V$5,"")</f>
        <v/>
      </c>
      <c r="AD78" s="70" t="str">
        <f aca="false">IF(AND(ISNUMBER(SKOR!W41),SKOR!W41=0),SKOR!W$5,"")</f>
        <v/>
      </c>
      <c r="AE78" s="70" t="str">
        <f aca="false">IF(AND(ISNUMBER(SKOR!X41),SKOR!X41=0),SKOR!X$5,"")</f>
        <v/>
      </c>
      <c r="AF78" s="70" t="str">
        <f aca="false">IF(AND(ISNUMBER(SKOR!Y41),SKOR!Y41=0),SKOR!Y$5,"")</f>
        <v/>
      </c>
      <c r="AG78" s="70" t="str">
        <f aca="false">IF(AND(ISNUMBER(SKOR!Z41),SKOR!Z41=0),SKOR!Z$5,"")</f>
        <v/>
      </c>
      <c r="AH78" s="70" t="str">
        <f aca="false">IF(AND(ISNUMBER(SKOR!AA41),SKOR!AA41=0),SKOR!AA$5,"")</f>
        <v/>
      </c>
      <c r="AI78" s="70" t="str">
        <f aca="false">IF(AND(ISNUMBER(SKOR!AB41),SKOR!AB41=0),SKOR!AB$5,"")</f>
        <v/>
      </c>
      <c r="AJ78" s="70" t="str">
        <f aca="false">IF(AND(ISNUMBER(SKOR!AC41),SKOR!AC41=0),SKOR!AC$5,"")</f>
        <v/>
      </c>
      <c r="AK78" s="70" t="str">
        <f aca="false">IF(AND(ISNUMBER(SKOR!AD41),SKOR!AD41=0),SKOR!AD$5,"")</f>
        <v/>
      </c>
      <c r="AL78" s="70" t="str">
        <f aca="false">IF(AND(ISNUMBER(SKOR!AE41),SKOR!AE41=0),SKOR!AE$5,"")</f>
        <v/>
      </c>
      <c r="AM78" s="70" t="str">
        <f aca="false">IF(AND(ISNUMBER(SKOR!AF41),SKOR!AF41=0),SKOR!AF$5,"")</f>
        <v/>
      </c>
      <c r="AN78" s="70" t="str">
        <f aca="false">IF(AND(ISNUMBER(SKOR!AG41),SKOR!AG41=0),SKOR!AG$5,"")</f>
        <v/>
      </c>
      <c r="AO78" s="70" t="str">
        <f aca="false">IF(AND(ISNUMBER(SKOR!AH41),SKOR!AH41=0),SKOR!AH$5,"")</f>
        <v/>
      </c>
      <c r="AP78" s="70" t="str">
        <f aca="false">IF(AND(ISNUMBER(SKOR!AI41),SKOR!AI41=0),SKOR!AI$5,"")</f>
        <v/>
      </c>
      <c r="AQ78" s="70" t="str">
        <f aca="false">IF(AND(ISNUMBER(SKOR!AJ41),SKOR!AJ41=0),SKOR!AJ$5,"")</f>
        <v/>
      </c>
      <c r="AR78" s="70" t="str">
        <f aca="false">IF(AND(ISNUMBER(SKOR!AK41),SKOR!AK41=0),SKOR!AK$5,"")</f>
        <v/>
      </c>
      <c r="AS78" s="70" t="str">
        <f aca="false">IF(AND(ISNUMBER(SKOR!AL41),SKOR!AL41=0),SKOR!AL$5,"")</f>
        <v/>
      </c>
      <c r="AT78" s="70" t="str">
        <f aca="false">IF(AND(ISNUMBER(SKOR!AM41),SKOR!AM41=0),SKOR!AM$5,"")</f>
        <v/>
      </c>
      <c r="AU78" s="70" t="str">
        <f aca="false">IF(AND(ISNUMBER(SKOR!AN41),SKOR!AN41=0),SKOR!AN$5,"")</f>
        <v/>
      </c>
      <c r="AV78" s="70" t="str">
        <f aca="false">IF(AND(ISNUMBER(SKOR!AO41),SKOR!AO41=0),SKOR!AO$5,"")</f>
        <v/>
      </c>
      <c r="AW78" s="70" t="str">
        <f aca="false">IF(AND(ISNUMBER(SKOR!AP41),SKOR!AP41=0),SKOR!AP$5,"")</f>
        <v/>
      </c>
      <c r="AX78" s="70" t="str">
        <f aca="false">IF(AND(ISNUMBER(SKOR!AQ41),SKOR!AQ41=0),SKOR!AQ$5,"")</f>
        <v/>
      </c>
      <c r="AY78" s="70" t="str">
        <f aca="false">IF(AND(ISNUMBER(SKOR!AR41),SKOR!AR41=0),SKOR!AR$5,"")</f>
        <v/>
      </c>
    </row>
    <row r="79" customFormat="false" ht="14.25" hidden="false" customHeight="false" outlineLevel="0" collapsed="false">
      <c r="A79" s="65" t="str">
        <f aca="false">NILAI!A42</f>
        <v/>
      </c>
      <c r="B79" s="66" t="str">
        <f aca="false">NILAI!B42</f>
        <v/>
      </c>
      <c r="C79" s="65" t="str">
        <f aca="false">NILAI!C42</f>
        <v/>
      </c>
      <c r="D79" s="56" t="str">
        <f aca="false">NILAI!F42</f>
        <v/>
      </c>
      <c r="E79" s="67" t="str">
        <f aca="false">IF(D79="","",D79-NILAI_KKM)</f>
        <v/>
      </c>
      <c r="F79" s="68" t="str">
        <f aca="false">IF(D79="","",IF(D79&lt;NILAI_KKM,"Remedial","Pengayaan"))</f>
        <v/>
      </c>
      <c r="G79" s="66" t="str">
        <f aca="false">IF(F79="","",IF(F79="Remedial",IF(D79&lt;BATAS_INTENSIF,"Remedial intensif: pembelajaran ulang + tes ulang","Remedial terbimbing: bahas butir salah + tes ulang"),IF(NILAI!I42="Atas","Pengayaan lanjut: tutor sebaya + soal HOTS","Pengayaan dasar: pendalaman + proyek")))</f>
        <v/>
      </c>
      <c r="H79" s="66" t="str">
        <f aca="false">IF(F79="","",IF(F79="Pengayaan","-",IF(_xlfn.TEXTJOIN(", ",TRUE(),$L79:$AY79)="","-",_xlfn.TEXTJOIN(", ",TRUE(),$L79:$AY79))))</f>
        <v/>
      </c>
      <c r="I79" s="69"/>
      <c r="J79" s="65" t="str">
        <f aca="false">IF(OR(F79&lt;&gt;"Remedial",I79=""),"",IF(I79&gt;=NILAI_KKM,"Tuntas","Belum tuntas"))</f>
        <v/>
      </c>
      <c r="L79" s="70" t="str">
        <f aca="false">IF(AND(ISNUMBER(SKOR!E42),SKOR!E42=0),SKOR!E$5,"")</f>
        <v/>
      </c>
      <c r="M79" s="70" t="str">
        <f aca="false">IF(AND(ISNUMBER(SKOR!F42),SKOR!F42=0),SKOR!F$5,"")</f>
        <v/>
      </c>
      <c r="N79" s="70" t="str">
        <f aca="false">IF(AND(ISNUMBER(SKOR!G42),SKOR!G42=0),SKOR!G$5,"")</f>
        <v/>
      </c>
      <c r="O79" s="70" t="str">
        <f aca="false">IF(AND(ISNUMBER(SKOR!H42),SKOR!H42=0),SKOR!H$5,"")</f>
        <v/>
      </c>
      <c r="P79" s="70" t="str">
        <f aca="false">IF(AND(ISNUMBER(SKOR!I42),SKOR!I42=0),SKOR!I$5,"")</f>
        <v/>
      </c>
      <c r="Q79" s="70" t="str">
        <f aca="false">IF(AND(ISNUMBER(SKOR!J42),SKOR!J42=0),SKOR!J$5,"")</f>
        <v/>
      </c>
      <c r="R79" s="70" t="str">
        <f aca="false">IF(AND(ISNUMBER(SKOR!K42),SKOR!K42=0),SKOR!K$5,"")</f>
        <v/>
      </c>
      <c r="S79" s="70" t="str">
        <f aca="false">IF(AND(ISNUMBER(SKOR!L42),SKOR!L42=0),SKOR!L$5,"")</f>
        <v/>
      </c>
      <c r="T79" s="70" t="str">
        <f aca="false">IF(AND(ISNUMBER(SKOR!M42),SKOR!M42=0),SKOR!M$5,"")</f>
        <v/>
      </c>
      <c r="U79" s="70" t="str">
        <f aca="false">IF(AND(ISNUMBER(SKOR!N42),SKOR!N42=0),SKOR!N$5,"")</f>
        <v/>
      </c>
      <c r="V79" s="70" t="str">
        <f aca="false">IF(AND(ISNUMBER(SKOR!O42),SKOR!O42=0),SKOR!O$5,"")</f>
        <v/>
      </c>
      <c r="W79" s="70" t="str">
        <f aca="false">IF(AND(ISNUMBER(SKOR!P42),SKOR!P42=0),SKOR!P$5,"")</f>
        <v/>
      </c>
      <c r="X79" s="70" t="str">
        <f aca="false">IF(AND(ISNUMBER(SKOR!Q42),SKOR!Q42=0),SKOR!Q$5,"")</f>
        <v/>
      </c>
      <c r="Y79" s="70" t="str">
        <f aca="false">IF(AND(ISNUMBER(SKOR!R42),SKOR!R42=0),SKOR!R$5,"")</f>
        <v/>
      </c>
      <c r="Z79" s="70" t="str">
        <f aca="false">IF(AND(ISNUMBER(SKOR!S42),SKOR!S42=0),SKOR!S$5,"")</f>
        <v/>
      </c>
      <c r="AA79" s="70" t="str">
        <f aca="false">IF(AND(ISNUMBER(SKOR!T42),SKOR!T42=0),SKOR!T$5,"")</f>
        <v/>
      </c>
      <c r="AB79" s="70" t="str">
        <f aca="false">IF(AND(ISNUMBER(SKOR!U42),SKOR!U42=0),SKOR!U$5,"")</f>
        <v/>
      </c>
      <c r="AC79" s="70" t="str">
        <f aca="false">IF(AND(ISNUMBER(SKOR!V42),SKOR!V42=0),SKOR!V$5,"")</f>
        <v/>
      </c>
      <c r="AD79" s="70" t="str">
        <f aca="false">IF(AND(ISNUMBER(SKOR!W42),SKOR!W42=0),SKOR!W$5,"")</f>
        <v/>
      </c>
      <c r="AE79" s="70" t="str">
        <f aca="false">IF(AND(ISNUMBER(SKOR!X42),SKOR!X42=0),SKOR!X$5,"")</f>
        <v/>
      </c>
      <c r="AF79" s="70" t="str">
        <f aca="false">IF(AND(ISNUMBER(SKOR!Y42),SKOR!Y42=0),SKOR!Y$5,"")</f>
        <v/>
      </c>
      <c r="AG79" s="70" t="str">
        <f aca="false">IF(AND(ISNUMBER(SKOR!Z42),SKOR!Z42=0),SKOR!Z$5,"")</f>
        <v/>
      </c>
      <c r="AH79" s="70" t="str">
        <f aca="false">IF(AND(ISNUMBER(SKOR!AA42),SKOR!AA42=0),SKOR!AA$5,"")</f>
        <v/>
      </c>
      <c r="AI79" s="70" t="str">
        <f aca="false">IF(AND(ISNUMBER(SKOR!AB42),SKOR!AB42=0),SKOR!AB$5,"")</f>
        <v/>
      </c>
      <c r="AJ79" s="70" t="str">
        <f aca="false">IF(AND(ISNUMBER(SKOR!AC42),SKOR!AC42=0),SKOR!AC$5,"")</f>
        <v/>
      </c>
      <c r="AK79" s="70" t="str">
        <f aca="false">IF(AND(ISNUMBER(SKOR!AD42),SKOR!AD42=0),SKOR!AD$5,"")</f>
        <v/>
      </c>
      <c r="AL79" s="70" t="str">
        <f aca="false">IF(AND(ISNUMBER(SKOR!AE42),SKOR!AE42=0),SKOR!AE$5,"")</f>
        <v/>
      </c>
      <c r="AM79" s="70" t="str">
        <f aca="false">IF(AND(ISNUMBER(SKOR!AF42),SKOR!AF42=0),SKOR!AF$5,"")</f>
        <v/>
      </c>
      <c r="AN79" s="70" t="str">
        <f aca="false">IF(AND(ISNUMBER(SKOR!AG42),SKOR!AG42=0),SKOR!AG$5,"")</f>
        <v/>
      </c>
      <c r="AO79" s="70" t="str">
        <f aca="false">IF(AND(ISNUMBER(SKOR!AH42),SKOR!AH42=0),SKOR!AH$5,"")</f>
        <v/>
      </c>
      <c r="AP79" s="70" t="str">
        <f aca="false">IF(AND(ISNUMBER(SKOR!AI42),SKOR!AI42=0),SKOR!AI$5,"")</f>
        <v/>
      </c>
      <c r="AQ79" s="70" t="str">
        <f aca="false">IF(AND(ISNUMBER(SKOR!AJ42),SKOR!AJ42=0),SKOR!AJ$5,"")</f>
        <v/>
      </c>
      <c r="AR79" s="70" t="str">
        <f aca="false">IF(AND(ISNUMBER(SKOR!AK42),SKOR!AK42=0),SKOR!AK$5,"")</f>
        <v/>
      </c>
      <c r="AS79" s="70" t="str">
        <f aca="false">IF(AND(ISNUMBER(SKOR!AL42),SKOR!AL42=0),SKOR!AL$5,"")</f>
        <v/>
      </c>
      <c r="AT79" s="70" t="str">
        <f aca="false">IF(AND(ISNUMBER(SKOR!AM42),SKOR!AM42=0),SKOR!AM$5,"")</f>
        <v/>
      </c>
      <c r="AU79" s="70" t="str">
        <f aca="false">IF(AND(ISNUMBER(SKOR!AN42),SKOR!AN42=0),SKOR!AN$5,"")</f>
        <v/>
      </c>
      <c r="AV79" s="70" t="str">
        <f aca="false">IF(AND(ISNUMBER(SKOR!AO42),SKOR!AO42=0),SKOR!AO$5,"")</f>
        <v/>
      </c>
      <c r="AW79" s="70" t="str">
        <f aca="false">IF(AND(ISNUMBER(SKOR!AP42),SKOR!AP42=0),SKOR!AP$5,"")</f>
        <v/>
      </c>
      <c r="AX79" s="70" t="str">
        <f aca="false">IF(AND(ISNUMBER(SKOR!AQ42),SKOR!AQ42=0),SKOR!AQ$5,"")</f>
        <v/>
      </c>
      <c r="AY79" s="70" t="str">
        <f aca="false">IF(AND(ISNUMBER(SKOR!AR42),SKOR!AR42=0),SKOR!AR$5,"")</f>
        <v/>
      </c>
    </row>
    <row r="80" customFormat="false" ht="14.25" hidden="false" customHeight="false" outlineLevel="0" collapsed="false">
      <c r="A80" s="65" t="str">
        <f aca="false">NILAI!A43</f>
        <v/>
      </c>
      <c r="B80" s="66" t="str">
        <f aca="false">NILAI!B43</f>
        <v/>
      </c>
      <c r="C80" s="65" t="str">
        <f aca="false">NILAI!C43</f>
        <v/>
      </c>
      <c r="D80" s="56" t="str">
        <f aca="false">NILAI!F43</f>
        <v/>
      </c>
      <c r="E80" s="67" t="str">
        <f aca="false">IF(D80="","",D80-NILAI_KKM)</f>
        <v/>
      </c>
      <c r="F80" s="68" t="str">
        <f aca="false">IF(D80="","",IF(D80&lt;NILAI_KKM,"Remedial","Pengayaan"))</f>
        <v/>
      </c>
      <c r="G80" s="66" t="str">
        <f aca="false">IF(F80="","",IF(F80="Remedial",IF(D80&lt;BATAS_INTENSIF,"Remedial intensif: pembelajaran ulang + tes ulang","Remedial terbimbing: bahas butir salah + tes ulang"),IF(NILAI!I43="Atas","Pengayaan lanjut: tutor sebaya + soal HOTS","Pengayaan dasar: pendalaman + proyek")))</f>
        <v/>
      </c>
      <c r="H80" s="66" t="str">
        <f aca="false">IF(F80="","",IF(F80="Pengayaan","-",IF(_xlfn.TEXTJOIN(", ",TRUE(),$L80:$AY80)="","-",_xlfn.TEXTJOIN(", ",TRUE(),$L80:$AY80))))</f>
        <v/>
      </c>
      <c r="I80" s="69"/>
      <c r="J80" s="65" t="str">
        <f aca="false">IF(OR(F80&lt;&gt;"Remedial",I80=""),"",IF(I80&gt;=NILAI_KKM,"Tuntas","Belum tuntas"))</f>
        <v/>
      </c>
      <c r="L80" s="70" t="str">
        <f aca="false">IF(AND(ISNUMBER(SKOR!E43),SKOR!E43=0),SKOR!E$5,"")</f>
        <v/>
      </c>
      <c r="M80" s="70" t="str">
        <f aca="false">IF(AND(ISNUMBER(SKOR!F43),SKOR!F43=0),SKOR!F$5,"")</f>
        <v/>
      </c>
      <c r="N80" s="70" t="str">
        <f aca="false">IF(AND(ISNUMBER(SKOR!G43),SKOR!G43=0),SKOR!G$5,"")</f>
        <v/>
      </c>
      <c r="O80" s="70" t="str">
        <f aca="false">IF(AND(ISNUMBER(SKOR!H43),SKOR!H43=0),SKOR!H$5,"")</f>
        <v/>
      </c>
      <c r="P80" s="70" t="str">
        <f aca="false">IF(AND(ISNUMBER(SKOR!I43),SKOR!I43=0),SKOR!I$5,"")</f>
        <v/>
      </c>
      <c r="Q80" s="70" t="str">
        <f aca="false">IF(AND(ISNUMBER(SKOR!J43),SKOR!J43=0),SKOR!J$5,"")</f>
        <v/>
      </c>
      <c r="R80" s="70" t="str">
        <f aca="false">IF(AND(ISNUMBER(SKOR!K43),SKOR!K43=0),SKOR!K$5,"")</f>
        <v/>
      </c>
      <c r="S80" s="70" t="str">
        <f aca="false">IF(AND(ISNUMBER(SKOR!L43),SKOR!L43=0),SKOR!L$5,"")</f>
        <v/>
      </c>
      <c r="T80" s="70" t="str">
        <f aca="false">IF(AND(ISNUMBER(SKOR!M43),SKOR!M43=0),SKOR!M$5,"")</f>
        <v/>
      </c>
      <c r="U80" s="70" t="str">
        <f aca="false">IF(AND(ISNUMBER(SKOR!N43),SKOR!N43=0),SKOR!N$5,"")</f>
        <v/>
      </c>
      <c r="V80" s="70" t="str">
        <f aca="false">IF(AND(ISNUMBER(SKOR!O43),SKOR!O43=0),SKOR!O$5,"")</f>
        <v/>
      </c>
      <c r="W80" s="70" t="str">
        <f aca="false">IF(AND(ISNUMBER(SKOR!P43),SKOR!P43=0),SKOR!P$5,"")</f>
        <v/>
      </c>
      <c r="X80" s="70" t="str">
        <f aca="false">IF(AND(ISNUMBER(SKOR!Q43),SKOR!Q43=0),SKOR!Q$5,"")</f>
        <v/>
      </c>
      <c r="Y80" s="70" t="str">
        <f aca="false">IF(AND(ISNUMBER(SKOR!R43),SKOR!R43=0),SKOR!R$5,"")</f>
        <v/>
      </c>
      <c r="Z80" s="70" t="str">
        <f aca="false">IF(AND(ISNUMBER(SKOR!S43),SKOR!S43=0),SKOR!S$5,"")</f>
        <v/>
      </c>
      <c r="AA80" s="70" t="str">
        <f aca="false">IF(AND(ISNUMBER(SKOR!T43),SKOR!T43=0),SKOR!T$5,"")</f>
        <v/>
      </c>
      <c r="AB80" s="70" t="str">
        <f aca="false">IF(AND(ISNUMBER(SKOR!U43),SKOR!U43=0),SKOR!U$5,"")</f>
        <v/>
      </c>
      <c r="AC80" s="70" t="str">
        <f aca="false">IF(AND(ISNUMBER(SKOR!V43),SKOR!V43=0),SKOR!V$5,"")</f>
        <v/>
      </c>
      <c r="AD80" s="70" t="str">
        <f aca="false">IF(AND(ISNUMBER(SKOR!W43),SKOR!W43=0),SKOR!W$5,"")</f>
        <v/>
      </c>
      <c r="AE80" s="70" t="str">
        <f aca="false">IF(AND(ISNUMBER(SKOR!X43),SKOR!X43=0),SKOR!X$5,"")</f>
        <v/>
      </c>
      <c r="AF80" s="70" t="str">
        <f aca="false">IF(AND(ISNUMBER(SKOR!Y43),SKOR!Y43=0),SKOR!Y$5,"")</f>
        <v/>
      </c>
      <c r="AG80" s="70" t="str">
        <f aca="false">IF(AND(ISNUMBER(SKOR!Z43),SKOR!Z43=0),SKOR!Z$5,"")</f>
        <v/>
      </c>
      <c r="AH80" s="70" t="str">
        <f aca="false">IF(AND(ISNUMBER(SKOR!AA43),SKOR!AA43=0),SKOR!AA$5,"")</f>
        <v/>
      </c>
      <c r="AI80" s="70" t="str">
        <f aca="false">IF(AND(ISNUMBER(SKOR!AB43),SKOR!AB43=0),SKOR!AB$5,"")</f>
        <v/>
      </c>
      <c r="AJ80" s="70" t="str">
        <f aca="false">IF(AND(ISNUMBER(SKOR!AC43),SKOR!AC43=0),SKOR!AC$5,"")</f>
        <v/>
      </c>
      <c r="AK80" s="70" t="str">
        <f aca="false">IF(AND(ISNUMBER(SKOR!AD43),SKOR!AD43=0),SKOR!AD$5,"")</f>
        <v/>
      </c>
      <c r="AL80" s="70" t="str">
        <f aca="false">IF(AND(ISNUMBER(SKOR!AE43),SKOR!AE43=0),SKOR!AE$5,"")</f>
        <v/>
      </c>
      <c r="AM80" s="70" t="str">
        <f aca="false">IF(AND(ISNUMBER(SKOR!AF43),SKOR!AF43=0),SKOR!AF$5,"")</f>
        <v/>
      </c>
      <c r="AN80" s="70" t="str">
        <f aca="false">IF(AND(ISNUMBER(SKOR!AG43),SKOR!AG43=0),SKOR!AG$5,"")</f>
        <v/>
      </c>
      <c r="AO80" s="70" t="str">
        <f aca="false">IF(AND(ISNUMBER(SKOR!AH43),SKOR!AH43=0),SKOR!AH$5,"")</f>
        <v/>
      </c>
      <c r="AP80" s="70" t="str">
        <f aca="false">IF(AND(ISNUMBER(SKOR!AI43),SKOR!AI43=0),SKOR!AI$5,"")</f>
        <v/>
      </c>
      <c r="AQ80" s="70" t="str">
        <f aca="false">IF(AND(ISNUMBER(SKOR!AJ43),SKOR!AJ43=0),SKOR!AJ$5,"")</f>
        <v/>
      </c>
      <c r="AR80" s="70" t="str">
        <f aca="false">IF(AND(ISNUMBER(SKOR!AK43),SKOR!AK43=0),SKOR!AK$5,"")</f>
        <v/>
      </c>
      <c r="AS80" s="70" t="str">
        <f aca="false">IF(AND(ISNUMBER(SKOR!AL43),SKOR!AL43=0),SKOR!AL$5,"")</f>
        <v/>
      </c>
      <c r="AT80" s="70" t="str">
        <f aca="false">IF(AND(ISNUMBER(SKOR!AM43),SKOR!AM43=0),SKOR!AM$5,"")</f>
        <v/>
      </c>
      <c r="AU80" s="70" t="str">
        <f aca="false">IF(AND(ISNUMBER(SKOR!AN43),SKOR!AN43=0),SKOR!AN$5,"")</f>
        <v/>
      </c>
      <c r="AV80" s="70" t="str">
        <f aca="false">IF(AND(ISNUMBER(SKOR!AO43),SKOR!AO43=0),SKOR!AO$5,"")</f>
        <v/>
      </c>
      <c r="AW80" s="70" t="str">
        <f aca="false">IF(AND(ISNUMBER(SKOR!AP43),SKOR!AP43=0),SKOR!AP$5,"")</f>
        <v/>
      </c>
      <c r="AX80" s="70" t="str">
        <f aca="false">IF(AND(ISNUMBER(SKOR!AQ43),SKOR!AQ43=0),SKOR!AQ$5,"")</f>
        <v/>
      </c>
      <c r="AY80" s="70" t="str">
        <f aca="false">IF(AND(ISNUMBER(SKOR!AR43),SKOR!AR43=0),SKOR!AR$5,"")</f>
        <v/>
      </c>
    </row>
    <row r="81" customFormat="false" ht="14.25" hidden="false" customHeight="false" outlineLevel="0" collapsed="false">
      <c r="A81" s="65" t="str">
        <f aca="false">NILAI!A44</f>
        <v/>
      </c>
      <c r="B81" s="66" t="str">
        <f aca="false">NILAI!B44</f>
        <v/>
      </c>
      <c r="C81" s="65" t="str">
        <f aca="false">NILAI!C44</f>
        <v/>
      </c>
      <c r="D81" s="56" t="str">
        <f aca="false">NILAI!F44</f>
        <v/>
      </c>
      <c r="E81" s="67" t="str">
        <f aca="false">IF(D81="","",D81-NILAI_KKM)</f>
        <v/>
      </c>
      <c r="F81" s="68" t="str">
        <f aca="false">IF(D81="","",IF(D81&lt;NILAI_KKM,"Remedial","Pengayaan"))</f>
        <v/>
      </c>
      <c r="G81" s="66" t="str">
        <f aca="false">IF(F81="","",IF(F81="Remedial",IF(D81&lt;BATAS_INTENSIF,"Remedial intensif: pembelajaran ulang + tes ulang","Remedial terbimbing: bahas butir salah + tes ulang"),IF(NILAI!I44="Atas","Pengayaan lanjut: tutor sebaya + soal HOTS","Pengayaan dasar: pendalaman + proyek")))</f>
        <v/>
      </c>
      <c r="H81" s="66" t="str">
        <f aca="false">IF(F81="","",IF(F81="Pengayaan","-",IF(_xlfn.TEXTJOIN(", ",TRUE(),$L81:$AY81)="","-",_xlfn.TEXTJOIN(", ",TRUE(),$L81:$AY81))))</f>
        <v/>
      </c>
      <c r="I81" s="69"/>
      <c r="J81" s="65" t="str">
        <f aca="false">IF(OR(F81&lt;&gt;"Remedial",I81=""),"",IF(I81&gt;=NILAI_KKM,"Tuntas","Belum tuntas"))</f>
        <v/>
      </c>
      <c r="L81" s="70" t="str">
        <f aca="false">IF(AND(ISNUMBER(SKOR!E44),SKOR!E44=0),SKOR!E$5,"")</f>
        <v/>
      </c>
      <c r="M81" s="70" t="str">
        <f aca="false">IF(AND(ISNUMBER(SKOR!F44),SKOR!F44=0),SKOR!F$5,"")</f>
        <v/>
      </c>
      <c r="N81" s="70" t="str">
        <f aca="false">IF(AND(ISNUMBER(SKOR!G44),SKOR!G44=0),SKOR!G$5,"")</f>
        <v/>
      </c>
      <c r="O81" s="70" t="str">
        <f aca="false">IF(AND(ISNUMBER(SKOR!H44),SKOR!H44=0),SKOR!H$5,"")</f>
        <v/>
      </c>
      <c r="P81" s="70" t="str">
        <f aca="false">IF(AND(ISNUMBER(SKOR!I44),SKOR!I44=0),SKOR!I$5,"")</f>
        <v/>
      </c>
      <c r="Q81" s="70" t="str">
        <f aca="false">IF(AND(ISNUMBER(SKOR!J44),SKOR!J44=0),SKOR!J$5,"")</f>
        <v/>
      </c>
      <c r="R81" s="70" t="str">
        <f aca="false">IF(AND(ISNUMBER(SKOR!K44),SKOR!K44=0),SKOR!K$5,"")</f>
        <v/>
      </c>
      <c r="S81" s="70" t="str">
        <f aca="false">IF(AND(ISNUMBER(SKOR!L44),SKOR!L44=0),SKOR!L$5,"")</f>
        <v/>
      </c>
      <c r="T81" s="70" t="str">
        <f aca="false">IF(AND(ISNUMBER(SKOR!M44),SKOR!M44=0),SKOR!M$5,"")</f>
        <v/>
      </c>
      <c r="U81" s="70" t="str">
        <f aca="false">IF(AND(ISNUMBER(SKOR!N44),SKOR!N44=0),SKOR!N$5,"")</f>
        <v/>
      </c>
      <c r="V81" s="70" t="str">
        <f aca="false">IF(AND(ISNUMBER(SKOR!O44),SKOR!O44=0),SKOR!O$5,"")</f>
        <v/>
      </c>
      <c r="W81" s="70" t="str">
        <f aca="false">IF(AND(ISNUMBER(SKOR!P44),SKOR!P44=0),SKOR!P$5,"")</f>
        <v/>
      </c>
      <c r="X81" s="70" t="str">
        <f aca="false">IF(AND(ISNUMBER(SKOR!Q44),SKOR!Q44=0),SKOR!Q$5,"")</f>
        <v/>
      </c>
      <c r="Y81" s="70" t="str">
        <f aca="false">IF(AND(ISNUMBER(SKOR!R44),SKOR!R44=0),SKOR!R$5,"")</f>
        <v/>
      </c>
      <c r="Z81" s="70" t="str">
        <f aca="false">IF(AND(ISNUMBER(SKOR!S44),SKOR!S44=0),SKOR!S$5,"")</f>
        <v/>
      </c>
      <c r="AA81" s="70" t="str">
        <f aca="false">IF(AND(ISNUMBER(SKOR!T44),SKOR!T44=0),SKOR!T$5,"")</f>
        <v/>
      </c>
      <c r="AB81" s="70" t="str">
        <f aca="false">IF(AND(ISNUMBER(SKOR!U44),SKOR!U44=0),SKOR!U$5,"")</f>
        <v/>
      </c>
      <c r="AC81" s="70" t="str">
        <f aca="false">IF(AND(ISNUMBER(SKOR!V44),SKOR!V44=0),SKOR!V$5,"")</f>
        <v/>
      </c>
      <c r="AD81" s="70" t="str">
        <f aca="false">IF(AND(ISNUMBER(SKOR!W44),SKOR!W44=0),SKOR!W$5,"")</f>
        <v/>
      </c>
      <c r="AE81" s="70" t="str">
        <f aca="false">IF(AND(ISNUMBER(SKOR!X44),SKOR!X44=0),SKOR!X$5,"")</f>
        <v/>
      </c>
      <c r="AF81" s="70" t="str">
        <f aca="false">IF(AND(ISNUMBER(SKOR!Y44),SKOR!Y44=0),SKOR!Y$5,"")</f>
        <v/>
      </c>
      <c r="AG81" s="70" t="str">
        <f aca="false">IF(AND(ISNUMBER(SKOR!Z44),SKOR!Z44=0),SKOR!Z$5,"")</f>
        <v/>
      </c>
      <c r="AH81" s="70" t="str">
        <f aca="false">IF(AND(ISNUMBER(SKOR!AA44),SKOR!AA44=0),SKOR!AA$5,"")</f>
        <v/>
      </c>
      <c r="AI81" s="70" t="str">
        <f aca="false">IF(AND(ISNUMBER(SKOR!AB44),SKOR!AB44=0),SKOR!AB$5,"")</f>
        <v/>
      </c>
      <c r="AJ81" s="70" t="str">
        <f aca="false">IF(AND(ISNUMBER(SKOR!AC44),SKOR!AC44=0),SKOR!AC$5,"")</f>
        <v/>
      </c>
      <c r="AK81" s="70" t="str">
        <f aca="false">IF(AND(ISNUMBER(SKOR!AD44),SKOR!AD44=0),SKOR!AD$5,"")</f>
        <v/>
      </c>
      <c r="AL81" s="70" t="str">
        <f aca="false">IF(AND(ISNUMBER(SKOR!AE44),SKOR!AE44=0),SKOR!AE$5,"")</f>
        <v/>
      </c>
      <c r="AM81" s="70" t="str">
        <f aca="false">IF(AND(ISNUMBER(SKOR!AF44),SKOR!AF44=0),SKOR!AF$5,"")</f>
        <v/>
      </c>
      <c r="AN81" s="70" t="str">
        <f aca="false">IF(AND(ISNUMBER(SKOR!AG44),SKOR!AG44=0),SKOR!AG$5,"")</f>
        <v/>
      </c>
      <c r="AO81" s="70" t="str">
        <f aca="false">IF(AND(ISNUMBER(SKOR!AH44),SKOR!AH44=0),SKOR!AH$5,"")</f>
        <v/>
      </c>
      <c r="AP81" s="70" t="str">
        <f aca="false">IF(AND(ISNUMBER(SKOR!AI44),SKOR!AI44=0),SKOR!AI$5,"")</f>
        <v/>
      </c>
      <c r="AQ81" s="70" t="str">
        <f aca="false">IF(AND(ISNUMBER(SKOR!AJ44),SKOR!AJ44=0),SKOR!AJ$5,"")</f>
        <v/>
      </c>
      <c r="AR81" s="70" t="str">
        <f aca="false">IF(AND(ISNUMBER(SKOR!AK44),SKOR!AK44=0),SKOR!AK$5,"")</f>
        <v/>
      </c>
      <c r="AS81" s="70" t="str">
        <f aca="false">IF(AND(ISNUMBER(SKOR!AL44),SKOR!AL44=0),SKOR!AL$5,"")</f>
        <v/>
      </c>
      <c r="AT81" s="70" t="str">
        <f aca="false">IF(AND(ISNUMBER(SKOR!AM44),SKOR!AM44=0),SKOR!AM$5,"")</f>
        <v/>
      </c>
      <c r="AU81" s="70" t="str">
        <f aca="false">IF(AND(ISNUMBER(SKOR!AN44),SKOR!AN44=0),SKOR!AN$5,"")</f>
        <v/>
      </c>
      <c r="AV81" s="70" t="str">
        <f aca="false">IF(AND(ISNUMBER(SKOR!AO44),SKOR!AO44=0),SKOR!AO$5,"")</f>
        <v/>
      </c>
      <c r="AW81" s="70" t="str">
        <f aca="false">IF(AND(ISNUMBER(SKOR!AP44),SKOR!AP44=0),SKOR!AP$5,"")</f>
        <v/>
      </c>
      <c r="AX81" s="70" t="str">
        <f aca="false">IF(AND(ISNUMBER(SKOR!AQ44),SKOR!AQ44=0),SKOR!AQ$5,"")</f>
        <v/>
      </c>
      <c r="AY81" s="70" t="str">
        <f aca="false">IF(AND(ISNUMBER(SKOR!AR44),SKOR!AR44=0),SKOR!AR$5,"")</f>
        <v/>
      </c>
    </row>
    <row r="82" customFormat="false" ht="14.25" hidden="false" customHeight="false" outlineLevel="0" collapsed="false">
      <c r="A82" s="65" t="str">
        <f aca="false">NILAI!A45</f>
        <v/>
      </c>
      <c r="B82" s="66" t="str">
        <f aca="false">NILAI!B45</f>
        <v/>
      </c>
      <c r="C82" s="65" t="str">
        <f aca="false">NILAI!C45</f>
        <v/>
      </c>
      <c r="D82" s="56" t="str">
        <f aca="false">NILAI!F45</f>
        <v/>
      </c>
      <c r="E82" s="67" t="str">
        <f aca="false">IF(D82="","",D82-NILAI_KKM)</f>
        <v/>
      </c>
      <c r="F82" s="68" t="str">
        <f aca="false">IF(D82="","",IF(D82&lt;NILAI_KKM,"Remedial","Pengayaan"))</f>
        <v/>
      </c>
      <c r="G82" s="66" t="str">
        <f aca="false">IF(F82="","",IF(F82="Remedial",IF(D82&lt;BATAS_INTENSIF,"Remedial intensif: pembelajaran ulang + tes ulang","Remedial terbimbing: bahas butir salah + tes ulang"),IF(NILAI!I45="Atas","Pengayaan lanjut: tutor sebaya + soal HOTS","Pengayaan dasar: pendalaman + proyek")))</f>
        <v/>
      </c>
      <c r="H82" s="66" t="str">
        <f aca="false">IF(F82="","",IF(F82="Pengayaan","-",IF(_xlfn.TEXTJOIN(", ",TRUE(),$L82:$AY82)="","-",_xlfn.TEXTJOIN(", ",TRUE(),$L82:$AY82))))</f>
        <v/>
      </c>
      <c r="I82" s="69"/>
      <c r="J82" s="65" t="str">
        <f aca="false">IF(OR(F82&lt;&gt;"Remedial",I82=""),"",IF(I82&gt;=NILAI_KKM,"Tuntas","Belum tuntas"))</f>
        <v/>
      </c>
      <c r="L82" s="70" t="str">
        <f aca="false">IF(AND(ISNUMBER(SKOR!E45),SKOR!E45=0),SKOR!E$5,"")</f>
        <v/>
      </c>
      <c r="M82" s="70" t="str">
        <f aca="false">IF(AND(ISNUMBER(SKOR!F45),SKOR!F45=0),SKOR!F$5,"")</f>
        <v/>
      </c>
      <c r="N82" s="70" t="str">
        <f aca="false">IF(AND(ISNUMBER(SKOR!G45),SKOR!G45=0),SKOR!G$5,"")</f>
        <v/>
      </c>
      <c r="O82" s="70" t="str">
        <f aca="false">IF(AND(ISNUMBER(SKOR!H45),SKOR!H45=0),SKOR!H$5,"")</f>
        <v/>
      </c>
      <c r="P82" s="70" t="str">
        <f aca="false">IF(AND(ISNUMBER(SKOR!I45),SKOR!I45=0),SKOR!I$5,"")</f>
        <v/>
      </c>
      <c r="Q82" s="70" t="str">
        <f aca="false">IF(AND(ISNUMBER(SKOR!J45),SKOR!J45=0),SKOR!J$5,"")</f>
        <v/>
      </c>
      <c r="R82" s="70" t="str">
        <f aca="false">IF(AND(ISNUMBER(SKOR!K45),SKOR!K45=0),SKOR!K$5,"")</f>
        <v/>
      </c>
      <c r="S82" s="70" t="str">
        <f aca="false">IF(AND(ISNUMBER(SKOR!L45),SKOR!L45=0),SKOR!L$5,"")</f>
        <v/>
      </c>
      <c r="T82" s="70" t="str">
        <f aca="false">IF(AND(ISNUMBER(SKOR!M45),SKOR!M45=0),SKOR!M$5,"")</f>
        <v/>
      </c>
      <c r="U82" s="70" t="str">
        <f aca="false">IF(AND(ISNUMBER(SKOR!N45),SKOR!N45=0),SKOR!N$5,"")</f>
        <v/>
      </c>
      <c r="V82" s="70" t="str">
        <f aca="false">IF(AND(ISNUMBER(SKOR!O45),SKOR!O45=0),SKOR!O$5,"")</f>
        <v/>
      </c>
      <c r="W82" s="70" t="str">
        <f aca="false">IF(AND(ISNUMBER(SKOR!P45),SKOR!P45=0),SKOR!P$5,"")</f>
        <v/>
      </c>
      <c r="X82" s="70" t="str">
        <f aca="false">IF(AND(ISNUMBER(SKOR!Q45),SKOR!Q45=0),SKOR!Q$5,"")</f>
        <v/>
      </c>
      <c r="Y82" s="70" t="str">
        <f aca="false">IF(AND(ISNUMBER(SKOR!R45),SKOR!R45=0),SKOR!R$5,"")</f>
        <v/>
      </c>
      <c r="Z82" s="70" t="str">
        <f aca="false">IF(AND(ISNUMBER(SKOR!S45),SKOR!S45=0),SKOR!S$5,"")</f>
        <v/>
      </c>
      <c r="AA82" s="70" t="str">
        <f aca="false">IF(AND(ISNUMBER(SKOR!T45),SKOR!T45=0),SKOR!T$5,"")</f>
        <v/>
      </c>
      <c r="AB82" s="70" t="str">
        <f aca="false">IF(AND(ISNUMBER(SKOR!U45),SKOR!U45=0),SKOR!U$5,"")</f>
        <v/>
      </c>
      <c r="AC82" s="70" t="str">
        <f aca="false">IF(AND(ISNUMBER(SKOR!V45),SKOR!V45=0),SKOR!V$5,"")</f>
        <v/>
      </c>
      <c r="AD82" s="70" t="str">
        <f aca="false">IF(AND(ISNUMBER(SKOR!W45),SKOR!W45=0),SKOR!W$5,"")</f>
        <v/>
      </c>
      <c r="AE82" s="70" t="str">
        <f aca="false">IF(AND(ISNUMBER(SKOR!X45),SKOR!X45=0),SKOR!X$5,"")</f>
        <v/>
      </c>
      <c r="AF82" s="70" t="str">
        <f aca="false">IF(AND(ISNUMBER(SKOR!Y45),SKOR!Y45=0),SKOR!Y$5,"")</f>
        <v/>
      </c>
      <c r="AG82" s="70" t="str">
        <f aca="false">IF(AND(ISNUMBER(SKOR!Z45),SKOR!Z45=0),SKOR!Z$5,"")</f>
        <v/>
      </c>
      <c r="AH82" s="70" t="str">
        <f aca="false">IF(AND(ISNUMBER(SKOR!AA45),SKOR!AA45=0),SKOR!AA$5,"")</f>
        <v/>
      </c>
      <c r="AI82" s="70" t="str">
        <f aca="false">IF(AND(ISNUMBER(SKOR!AB45),SKOR!AB45=0),SKOR!AB$5,"")</f>
        <v/>
      </c>
      <c r="AJ82" s="70" t="str">
        <f aca="false">IF(AND(ISNUMBER(SKOR!AC45),SKOR!AC45=0),SKOR!AC$5,"")</f>
        <v/>
      </c>
      <c r="AK82" s="70" t="str">
        <f aca="false">IF(AND(ISNUMBER(SKOR!AD45),SKOR!AD45=0),SKOR!AD$5,"")</f>
        <v/>
      </c>
      <c r="AL82" s="70" t="str">
        <f aca="false">IF(AND(ISNUMBER(SKOR!AE45),SKOR!AE45=0),SKOR!AE$5,"")</f>
        <v/>
      </c>
      <c r="AM82" s="70" t="str">
        <f aca="false">IF(AND(ISNUMBER(SKOR!AF45),SKOR!AF45=0),SKOR!AF$5,"")</f>
        <v/>
      </c>
      <c r="AN82" s="70" t="str">
        <f aca="false">IF(AND(ISNUMBER(SKOR!AG45),SKOR!AG45=0),SKOR!AG$5,"")</f>
        <v/>
      </c>
      <c r="AO82" s="70" t="str">
        <f aca="false">IF(AND(ISNUMBER(SKOR!AH45),SKOR!AH45=0),SKOR!AH$5,"")</f>
        <v/>
      </c>
      <c r="AP82" s="70" t="str">
        <f aca="false">IF(AND(ISNUMBER(SKOR!AI45),SKOR!AI45=0),SKOR!AI$5,"")</f>
        <v/>
      </c>
      <c r="AQ82" s="70" t="str">
        <f aca="false">IF(AND(ISNUMBER(SKOR!AJ45),SKOR!AJ45=0),SKOR!AJ$5,"")</f>
        <v/>
      </c>
      <c r="AR82" s="70" t="str">
        <f aca="false">IF(AND(ISNUMBER(SKOR!AK45),SKOR!AK45=0),SKOR!AK$5,"")</f>
        <v/>
      </c>
      <c r="AS82" s="70" t="str">
        <f aca="false">IF(AND(ISNUMBER(SKOR!AL45),SKOR!AL45=0),SKOR!AL$5,"")</f>
        <v/>
      </c>
      <c r="AT82" s="70" t="str">
        <f aca="false">IF(AND(ISNUMBER(SKOR!AM45),SKOR!AM45=0),SKOR!AM$5,"")</f>
        <v/>
      </c>
      <c r="AU82" s="70" t="str">
        <f aca="false">IF(AND(ISNUMBER(SKOR!AN45),SKOR!AN45=0),SKOR!AN$5,"")</f>
        <v/>
      </c>
      <c r="AV82" s="70" t="str">
        <f aca="false">IF(AND(ISNUMBER(SKOR!AO45),SKOR!AO45=0),SKOR!AO$5,"")</f>
        <v/>
      </c>
      <c r="AW82" s="70" t="str">
        <f aca="false">IF(AND(ISNUMBER(SKOR!AP45),SKOR!AP45=0),SKOR!AP$5,"")</f>
        <v/>
      </c>
      <c r="AX82" s="70" t="str">
        <f aca="false">IF(AND(ISNUMBER(SKOR!AQ45),SKOR!AQ45=0),SKOR!AQ$5,"")</f>
        <v/>
      </c>
      <c r="AY82" s="70" t="str">
        <f aca="false">IF(AND(ISNUMBER(SKOR!AR45),SKOR!AR45=0),SKOR!AR$5,"")</f>
        <v/>
      </c>
    </row>
    <row r="83" customFormat="false" ht="14.25" hidden="false" customHeight="false" outlineLevel="0" collapsed="false">
      <c r="A83" s="65" t="str">
        <f aca="false">NILAI!A46</f>
        <v/>
      </c>
      <c r="B83" s="66" t="str">
        <f aca="false">NILAI!B46</f>
        <v/>
      </c>
      <c r="C83" s="65" t="str">
        <f aca="false">NILAI!C46</f>
        <v/>
      </c>
      <c r="D83" s="56" t="str">
        <f aca="false">NILAI!F46</f>
        <v/>
      </c>
      <c r="E83" s="67" t="str">
        <f aca="false">IF(D83="","",D83-NILAI_KKM)</f>
        <v/>
      </c>
      <c r="F83" s="68" t="str">
        <f aca="false">IF(D83="","",IF(D83&lt;NILAI_KKM,"Remedial","Pengayaan"))</f>
        <v/>
      </c>
      <c r="G83" s="66" t="str">
        <f aca="false">IF(F83="","",IF(F83="Remedial",IF(D83&lt;BATAS_INTENSIF,"Remedial intensif: pembelajaran ulang + tes ulang","Remedial terbimbing: bahas butir salah + tes ulang"),IF(NILAI!I46="Atas","Pengayaan lanjut: tutor sebaya + soal HOTS","Pengayaan dasar: pendalaman + proyek")))</f>
        <v/>
      </c>
      <c r="H83" s="66" t="str">
        <f aca="false">IF(F83="","",IF(F83="Pengayaan","-",IF(_xlfn.TEXTJOIN(", ",TRUE(),$L83:$AY83)="","-",_xlfn.TEXTJOIN(", ",TRUE(),$L83:$AY83))))</f>
        <v/>
      </c>
      <c r="I83" s="69"/>
      <c r="J83" s="65" t="str">
        <f aca="false">IF(OR(F83&lt;&gt;"Remedial",I83=""),"",IF(I83&gt;=NILAI_KKM,"Tuntas","Belum tuntas"))</f>
        <v/>
      </c>
      <c r="L83" s="70" t="str">
        <f aca="false">IF(AND(ISNUMBER(SKOR!E46),SKOR!E46=0),SKOR!E$5,"")</f>
        <v/>
      </c>
      <c r="M83" s="70" t="str">
        <f aca="false">IF(AND(ISNUMBER(SKOR!F46),SKOR!F46=0),SKOR!F$5,"")</f>
        <v/>
      </c>
      <c r="N83" s="70" t="str">
        <f aca="false">IF(AND(ISNUMBER(SKOR!G46),SKOR!G46=0),SKOR!G$5,"")</f>
        <v/>
      </c>
      <c r="O83" s="70" t="str">
        <f aca="false">IF(AND(ISNUMBER(SKOR!H46),SKOR!H46=0),SKOR!H$5,"")</f>
        <v/>
      </c>
      <c r="P83" s="70" t="str">
        <f aca="false">IF(AND(ISNUMBER(SKOR!I46),SKOR!I46=0),SKOR!I$5,"")</f>
        <v/>
      </c>
      <c r="Q83" s="70" t="str">
        <f aca="false">IF(AND(ISNUMBER(SKOR!J46),SKOR!J46=0),SKOR!J$5,"")</f>
        <v/>
      </c>
      <c r="R83" s="70" t="str">
        <f aca="false">IF(AND(ISNUMBER(SKOR!K46),SKOR!K46=0),SKOR!K$5,"")</f>
        <v/>
      </c>
      <c r="S83" s="70" t="str">
        <f aca="false">IF(AND(ISNUMBER(SKOR!L46),SKOR!L46=0),SKOR!L$5,"")</f>
        <v/>
      </c>
      <c r="T83" s="70" t="str">
        <f aca="false">IF(AND(ISNUMBER(SKOR!M46),SKOR!M46=0),SKOR!M$5,"")</f>
        <v/>
      </c>
      <c r="U83" s="70" t="str">
        <f aca="false">IF(AND(ISNUMBER(SKOR!N46),SKOR!N46=0),SKOR!N$5,"")</f>
        <v/>
      </c>
      <c r="V83" s="70" t="str">
        <f aca="false">IF(AND(ISNUMBER(SKOR!O46),SKOR!O46=0),SKOR!O$5,"")</f>
        <v/>
      </c>
      <c r="W83" s="70" t="str">
        <f aca="false">IF(AND(ISNUMBER(SKOR!P46),SKOR!P46=0),SKOR!P$5,"")</f>
        <v/>
      </c>
      <c r="X83" s="70" t="str">
        <f aca="false">IF(AND(ISNUMBER(SKOR!Q46),SKOR!Q46=0),SKOR!Q$5,"")</f>
        <v/>
      </c>
      <c r="Y83" s="70" t="str">
        <f aca="false">IF(AND(ISNUMBER(SKOR!R46),SKOR!R46=0),SKOR!R$5,"")</f>
        <v/>
      </c>
      <c r="Z83" s="70" t="str">
        <f aca="false">IF(AND(ISNUMBER(SKOR!S46),SKOR!S46=0),SKOR!S$5,"")</f>
        <v/>
      </c>
      <c r="AA83" s="70" t="str">
        <f aca="false">IF(AND(ISNUMBER(SKOR!T46),SKOR!T46=0),SKOR!T$5,"")</f>
        <v/>
      </c>
      <c r="AB83" s="70" t="str">
        <f aca="false">IF(AND(ISNUMBER(SKOR!U46),SKOR!U46=0),SKOR!U$5,"")</f>
        <v/>
      </c>
      <c r="AC83" s="70" t="str">
        <f aca="false">IF(AND(ISNUMBER(SKOR!V46),SKOR!V46=0),SKOR!V$5,"")</f>
        <v/>
      </c>
      <c r="AD83" s="70" t="str">
        <f aca="false">IF(AND(ISNUMBER(SKOR!W46),SKOR!W46=0),SKOR!W$5,"")</f>
        <v/>
      </c>
      <c r="AE83" s="70" t="str">
        <f aca="false">IF(AND(ISNUMBER(SKOR!X46),SKOR!X46=0),SKOR!X$5,"")</f>
        <v/>
      </c>
      <c r="AF83" s="70" t="str">
        <f aca="false">IF(AND(ISNUMBER(SKOR!Y46),SKOR!Y46=0),SKOR!Y$5,"")</f>
        <v/>
      </c>
      <c r="AG83" s="70" t="str">
        <f aca="false">IF(AND(ISNUMBER(SKOR!Z46),SKOR!Z46=0),SKOR!Z$5,"")</f>
        <v/>
      </c>
      <c r="AH83" s="70" t="str">
        <f aca="false">IF(AND(ISNUMBER(SKOR!AA46),SKOR!AA46=0),SKOR!AA$5,"")</f>
        <v/>
      </c>
      <c r="AI83" s="70" t="str">
        <f aca="false">IF(AND(ISNUMBER(SKOR!AB46),SKOR!AB46=0),SKOR!AB$5,"")</f>
        <v/>
      </c>
      <c r="AJ83" s="70" t="str">
        <f aca="false">IF(AND(ISNUMBER(SKOR!AC46),SKOR!AC46=0),SKOR!AC$5,"")</f>
        <v/>
      </c>
      <c r="AK83" s="70" t="str">
        <f aca="false">IF(AND(ISNUMBER(SKOR!AD46),SKOR!AD46=0),SKOR!AD$5,"")</f>
        <v/>
      </c>
      <c r="AL83" s="70" t="str">
        <f aca="false">IF(AND(ISNUMBER(SKOR!AE46),SKOR!AE46=0),SKOR!AE$5,"")</f>
        <v/>
      </c>
      <c r="AM83" s="70" t="str">
        <f aca="false">IF(AND(ISNUMBER(SKOR!AF46),SKOR!AF46=0),SKOR!AF$5,"")</f>
        <v/>
      </c>
      <c r="AN83" s="70" t="str">
        <f aca="false">IF(AND(ISNUMBER(SKOR!AG46),SKOR!AG46=0),SKOR!AG$5,"")</f>
        <v/>
      </c>
      <c r="AO83" s="70" t="str">
        <f aca="false">IF(AND(ISNUMBER(SKOR!AH46),SKOR!AH46=0),SKOR!AH$5,"")</f>
        <v/>
      </c>
      <c r="AP83" s="70" t="str">
        <f aca="false">IF(AND(ISNUMBER(SKOR!AI46),SKOR!AI46=0),SKOR!AI$5,"")</f>
        <v/>
      </c>
      <c r="AQ83" s="70" t="str">
        <f aca="false">IF(AND(ISNUMBER(SKOR!AJ46),SKOR!AJ46=0),SKOR!AJ$5,"")</f>
        <v/>
      </c>
      <c r="AR83" s="70" t="str">
        <f aca="false">IF(AND(ISNUMBER(SKOR!AK46),SKOR!AK46=0),SKOR!AK$5,"")</f>
        <v/>
      </c>
      <c r="AS83" s="70" t="str">
        <f aca="false">IF(AND(ISNUMBER(SKOR!AL46),SKOR!AL46=0),SKOR!AL$5,"")</f>
        <v/>
      </c>
      <c r="AT83" s="70" t="str">
        <f aca="false">IF(AND(ISNUMBER(SKOR!AM46),SKOR!AM46=0),SKOR!AM$5,"")</f>
        <v/>
      </c>
      <c r="AU83" s="70" t="str">
        <f aca="false">IF(AND(ISNUMBER(SKOR!AN46),SKOR!AN46=0),SKOR!AN$5,"")</f>
        <v/>
      </c>
      <c r="AV83" s="70" t="str">
        <f aca="false">IF(AND(ISNUMBER(SKOR!AO46),SKOR!AO46=0),SKOR!AO$5,"")</f>
        <v/>
      </c>
      <c r="AW83" s="70" t="str">
        <f aca="false">IF(AND(ISNUMBER(SKOR!AP46),SKOR!AP46=0),SKOR!AP$5,"")</f>
        <v/>
      </c>
      <c r="AX83" s="70" t="str">
        <f aca="false">IF(AND(ISNUMBER(SKOR!AQ46),SKOR!AQ46=0),SKOR!AQ$5,"")</f>
        <v/>
      </c>
      <c r="AY83" s="70" t="str">
        <f aca="false">IF(AND(ISNUMBER(SKOR!AR46),SKOR!AR46=0),SKOR!AR$5,"")</f>
        <v/>
      </c>
    </row>
    <row r="84" customFormat="false" ht="14.25" hidden="false" customHeight="false" outlineLevel="0" collapsed="false">
      <c r="A84" s="65" t="str">
        <f aca="false">NILAI!A47</f>
        <v/>
      </c>
      <c r="B84" s="66" t="str">
        <f aca="false">NILAI!B47</f>
        <v/>
      </c>
      <c r="C84" s="65" t="str">
        <f aca="false">NILAI!C47</f>
        <v/>
      </c>
      <c r="D84" s="56" t="str">
        <f aca="false">NILAI!F47</f>
        <v/>
      </c>
      <c r="E84" s="67" t="str">
        <f aca="false">IF(D84="","",D84-NILAI_KKM)</f>
        <v/>
      </c>
      <c r="F84" s="68" t="str">
        <f aca="false">IF(D84="","",IF(D84&lt;NILAI_KKM,"Remedial","Pengayaan"))</f>
        <v/>
      </c>
      <c r="G84" s="66" t="str">
        <f aca="false">IF(F84="","",IF(F84="Remedial",IF(D84&lt;BATAS_INTENSIF,"Remedial intensif: pembelajaran ulang + tes ulang","Remedial terbimbing: bahas butir salah + tes ulang"),IF(NILAI!I47="Atas","Pengayaan lanjut: tutor sebaya + soal HOTS","Pengayaan dasar: pendalaman + proyek")))</f>
        <v/>
      </c>
      <c r="H84" s="66" t="str">
        <f aca="false">IF(F84="","",IF(F84="Pengayaan","-",IF(_xlfn.TEXTJOIN(", ",TRUE(),$L84:$AY84)="","-",_xlfn.TEXTJOIN(", ",TRUE(),$L84:$AY84))))</f>
        <v/>
      </c>
      <c r="I84" s="69"/>
      <c r="J84" s="65" t="str">
        <f aca="false">IF(OR(F84&lt;&gt;"Remedial",I84=""),"",IF(I84&gt;=NILAI_KKM,"Tuntas","Belum tuntas"))</f>
        <v/>
      </c>
      <c r="L84" s="70" t="str">
        <f aca="false">IF(AND(ISNUMBER(SKOR!E47),SKOR!E47=0),SKOR!E$5,"")</f>
        <v/>
      </c>
      <c r="M84" s="70" t="str">
        <f aca="false">IF(AND(ISNUMBER(SKOR!F47),SKOR!F47=0),SKOR!F$5,"")</f>
        <v/>
      </c>
      <c r="N84" s="70" t="str">
        <f aca="false">IF(AND(ISNUMBER(SKOR!G47),SKOR!G47=0),SKOR!G$5,"")</f>
        <v/>
      </c>
      <c r="O84" s="70" t="str">
        <f aca="false">IF(AND(ISNUMBER(SKOR!H47),SKOR!H47=0),SKOR!H$5,"")</f>
        <v/>
      </c>
      <c r="P84" s="70" t="str">
        <f aca="false">IF(AND(ISNUMBER(SKOR!I47),SKOR!I47=0),SKOR!I$5,"")</f>
        <v/>
      </c>
      <c r="Q84" s="70" t="str">
        <f aca="false">IF(AND(ISNUMBER(SKOR!J47),SKOR!J47=0),SKOR!J$5,"")</f>
        <v/>
      </c>
      <c r="R84" s="70" t="str">
        <f aca="false">IF(AND(ISNUMBER(SKOR!K47),SKOR!K47=0),SKOR!K$5,"")</f>
        <v/>
      </c>
      <c r="S84" s="70" t="str">
        <f aca="false">IF(AND(ISNUMBER(SKOR!L47),SKOR!L47=0),SKOR!L$5,"")</f>
        <v/>
      </c>
      <c r="T84" s="70" t="str">
        <f aca="false">IF(AND(ISNUMBER(SKOR!M47),SKOR!M47=0),SKOR!M$5,"")</f>
        <v/>
      </c>
      <c r="U84" s="70" t="str">
        <f aca="false">IF(AND(ISNUMBER(SKOR!N47),SKOR!N47=0),SKOR!N$5,"")</f>
        <v/>
      </c>
      <c r="V84" s="70" t="str">
        <f aca="false">IF(AND(ISNUMBER(SKOR!O47),SKOR!O47=0),SKOR!O$5,"")</f>
        <v/>
      </c>
      <c r="W84" s="70" t="str">
        <f aca="false">IF(AND(ISNUMBER(SKOR!P47),SKOR!P47=0),SKOR!P$5,"")</f>
        <v/>
      </c>
      <c r="X84" s="70" t="str">
        <f aca="false">IF(AND(ISNUMBER(SKOR!Q47),SKOR!Q47=0),SKOR!Q$5,"")</f>
        <v/>
      </c>
      <c r="Y84" s="70" t="str">
        <f aca="false">IF(AND(ISNUMBER(SKOR!R47),SKOR!R47=0),SKOR!R$5,"")</f>
        <v/>
      </c>
      <c r="Z84" s="70" t="str">
        <f aca="false">IF(AND(ISNUMBER(SKOR!S47),SKOR!S47=0),SKOR!S$5,"")</f>
        <v/>
      </c>
      <c r="AA84" s="70" t="str">
        <f aca="false">IF(AND(ISNUMBER(SKOR!T47),SKOR!T47=0),SKOR!T$5,"")</f>
        <v/>
      </c>
      <c r="AB84" s="70" t="str">
        <f aca="false">IF(AND(ISNUMBER(SKOR!U47),SKOR!U47=0),SKOR!U$5,"")</f>
        <v/>
      </c>
      <c r="AC84" s="70" t="str">
        <f aca="false">IF(AND(ISNUMBER(SKOR!V47),SKOR!V47=0),SKOR!V$5,"")</f>
        <v/>
      </c>
      <c r="AD84" s="70" t="str">
        <f aca="false">IF(AND(ISNUMBER(SKOR!W47),SKOR!W47=0),SKOR!W$5,"")</f>
        <v/>
      </c>
      <c r="AE84" s="70" t="str">
        <f aca="false">IF(AND(ISNUMBER(SKOR!X47),SKOR!X47=0),SKOR!X$5,"")</f>
        <v/>
      </c>
      <c r="AF84" s="70" t="str">
        <f aca="false">IF(AND(ISNUMBER(SKOR!Y47),SKOR!Y47=0),SKOR!Y$5,"")</f>
        <v/>
      </c>
      <c r="AG84" s="70" t="str">
        <f aca="false">IF(AND(ISNUMBER(SKOR!Z47),SKOR!Z47=0),SKOR!Z$5,"")</f>
        <v/>
      </c>
      <c r="AH84" s="70" t="str">
        <f aca="false">IF(AND(ISNUMBER(SKOR!AA47),SKOR!AA47=0),SKOR!AA$5,"")</f>
        <v/>
      </c>
      <c r="AI84" s="70" t="str">
        <f aca="false">IF(AND(ISNUMBER(SKOR!AB47),SKOR!AB47=0),SKOR!AB$5,"")</f>
        <v/>
      </c>
      <c r="AJ84" s="70" t="str">
        <f aca="false">IF(AND(ISNUMBER(SKOR!AC47),SKOR!AC47=0),SKOR!AC$5,"")</f>
        <v/>
      </c>
      <c r="AK84" s="70" t="str">
        <f aca="false">IF(AND(ISNUMBER(SKOR!AD47),SKOR!AD47=0),SKOR!AD$5,"")</f>
        <v/>
      </c>
      <c r="AL84" s="70" t="str">
        <f aca="false">IF(AND(ISNUMBER(SKOR!AE47),SKOR!AE47=0),SKOR!AE$5,"")</f>
        <v/>
      </c>
      <c r="AM84" s="70" t="str">
        <f aca="false">IF(AND(ISNUMBER(SKOR!AF47),SKOR!AF47=0),SKOR!AF$5,"")</f>
        <v/>
      </c>
      <c r="AN84" s="70" t="str">
        <f aca="false">IF(AND(ISNUMBER(SKOR!AG47),SKOR!AG47=0),SKOR!AG$5,"")</f>
        <v/>
      </c>
      <c r="AO84" s="70" t="str">
        <f aca="false">IF(AND(ISNUMBER(SKOR!AH47),SKOR!AH47=0),SKOR!AH$5,"")</f>
        <v/>
      </c>
      <c r="AP84" s="70" t="str">
        <f aca="false">IF(AND(ISNUMBER(SKOR!AI47),SKOR!AI47=0),SKOR!AI$5,"")</f>
        <v/>
      </c>
      <c r="AQ84" s="70" t="str">
        <f aca="false">IF(AND(ISNUMBER(SKOR!AJ47),SKOR!AJ47=0),SKOR!AJ$5,"")</f>
        <v/>
      </c>
      <c r="AR84" s="70" t="str">
        <f aca="false">IF(AND(ISNUMBER(SKOR!AK47),SKOR!AK47=0),SKOR!AK$5,"")</f>
        <v/>
      </c>
      <c r="AS84" s="70" t="str">
        <f aca="false">IF(AND(ISNUMBER(SKOR!AL47),SKOR!AL47=0),SKOR!AL$5,"")</f>
        <v/>
      </c>
      <c r="AT84" s="70" t="str">
        <f aca="false">IF(AND(ISNUMBER(SKOR!AM47),SKOR!AM47=0),SKOR!AM$5,"")</f>
        <v/>
      </c>
      <c r="AU84" s="70" t="str">
        <f aca="false">IF(AND(ISNUMBER(SKOR!AN47),SKOR!AN47=0),SKOR!AN$5,"")</f>
        <v/>
      </c>
      <c r="AV84" s="70" t="str">
        <f aca="false">IF(AND(ISNUMBER(SKOR!AO47),SKOR!AO47=0),SKOR!AO$5,"")</f>
        <v/>
      </c>
      <c r="AW84" s="70" t="str">
        <f aca="false">IF(AND(ISNUMBER(SKOR!AP47),SKOR!AP47=0),SKOR!AP$5,"")</f>
        <v/>
      </c>
      <c r="AX84" s="70" t="str">
        <f aca="false">IF(AND(ISNUMBER(SKOR!AQ47),SKOR!AQ47=0),SKOR!AQ$5,"")</f>
        <v/>
      </c>
      <c r="AY84" s="70" t="str">
        <f aca="false">IF(AND(ISNUMBER(SKOR!AR47),SKOR!AR47=0),SKOR!AR$5,"")</f>
        <v/>
      </c>
    </row>
    <row r="85" customFormat="false" ht="14.25" hidden="false" customHeight="false" outlineLevel="0" collapsed="false">
      <c r="A85" s="65" t="str">
        <f aca="false">NILAI!A48</f>
        <v/>
      </c>
      <c r="B85" s="66" t="str">
        <f aca="false">NILAI!B48</f>
        <v/>
      </c>
      <c r="C85" s="65" t="str">
        <f aca="false">NILAI!C48</f>
        <v/>
      </c>
      <c r="D85" s="56" t="str">
        <f aca="false">NILAI!F48</f>
        <v/>
      </c>
      <c r="E85" s="67" t="str">
        <f aca="false">IF(D85="","",D85-NILAI_KKM)</f>
        <v/>
      </c>
      <c r="F85" s="68" t="str">
        <f aca="false">IF(D85="","",IF(D85&lt;NILAI_KKM,"Remedial","Pengayaan"))</f>
        <v/>
      </c>
      <c r="G85" s="66" t="str">
        <f aca="false">IF(F85="","",IF(F85="Remedial",IF(D85&lt;BATAS_INTENSIF,"Remedial intensif: pembelajaran ulang + tes ulang","Remedial terbimbing: bahas butir salah + tes ulang"),IF(NILAI!I48="Atas","Pengayaan lanjut: tutor sebaya + soal HOTS","Pengayaan dasar: pendalaman + proyek")))</f>
        <v/>
      </c>
      <c r="H85" s="66" t="str">
        <f aca="false">IF(F85="","",IF(F85="Pengayaan","-",IF(_xlfn.TEXTJOIN(", ",TRUE(),$L85:$AY85)="","-",_xlfn.TEXTJOIN(", ",TRUE(),$L85:$AY85))))</f>
        <v/>
      </c>
      <c r="I85" s="69"/>
      <c r="J85" s="65" t="str">
        <f aca="false">IF(OR(F85&lt;&gt;"Remedial",I85=""),"",IF(I85&gt;=NILAI_KKM,"Tuntas","Belum tuntas"))</f>
        <v/>
      </c>
      <c r="L85" s="70" t="str">
        <f aca="false">IF(AND(ISNUMBER(SKOR!E48),SKOR!E48=0),SKOR!E$5,"")</f>
        <v/>
      </c>
      <c r="M85" s="70" t="str">
        <f aca="false">IF(AND(ISNUMBER(SKOR!F48),SKOR!F48=0),SKOR!F$5,"")</f>
        <v/>
      </c>
      <c r="N85" s="70" t="str">
        <f aca="false">IF(AND(ISNUMBER(SKOR!G48),SKOR!G48=0),SKOR!G$5,"")</f>
        <v/>
      </c>
      <c r="O85" s="70" t="str">
        <f aca="false">IF(AND(ISNUMBER(SKOR!H48),SKOR!H48=0),SKOR!H$5,"")</f>
        <v/>
      </c>
      <c r="P85" s="70" t="str">
        <f aca="false">IF(AND(ISNUMBER(SKOR!I48),SKOR!I48=0),SKOR!I$5,"")</f>
        <v/>
      </c>
      <c r="Q85" s="70" t="str">
        <f aca="false">IF(AND(ISNUMBER(SKOR!J48),SKOR!J48=0),SKOR!J$5,"")</f>
        <v/>
      </c>
      <c r="R85" s="70" t="str">
        <f aca="false">IF(AND(ISNUMBER(SKOR!K48),SKOR!K48=0),SKOR!K$5,"")</f>
        <v/>
      </c>
      <c r="S85" s="70" t="str">
        <f aca="false">IF(AND(ISNUMBER(SKOR!L48),SKOR!L48=0),SKOR!L$5,"")</f>
        <v/>
      </c>
      <c r="T85" s="70" t="str">
        <f aca="false">IF(AND(ISNUMBER(SKOR!M48),SKOR!M48=0),SKOR!M$5,"")</f>
        <v/>
      </c>
      <c r="U85" s="70" t="str">
        <f aca="false">IF(AND(ISNUMBER(SKOR!N48),SKOR!N48=0),SKOR!N$5,"")</f>
        <v/>
      </c>
      <c r="V85" s="70" t="str">
        <f aca="false">IF(AND(ISNUMBER(SKOR!O48),SKOR!O48=0),SKOR!O$5,"")</f>
        <v/>
      </c>
      <c r="W85" s="70" t="str">
        <f aca="false">IF(AND(ISNUMBER(SKOR!P48),SKOR!P48=0),SKOR!P$5,"")</f>
        <v/>
      </c>
      <c r="X85" s="70" t="str">
        <f aca="false">IF(AND(ISNUMBER(SKOR!Q48),SKOR!Q48=0),SKOR!Q$5,"")</f>
        <v/>
      </c>
      <c r="Y85" s="70" t="str">
        <f aca="false">IF(AND(ISNUMBER(SKOR!R48),SKOR!R48=0),SKOR!R$5,"")</f>
        <v/>
      </c>
      <c r="Z85" s="70" t="str">
        <f aca="false">IF(AND(ISNUMBER(SKOR!S48),SKOR!S48=0),SKOR!S$5,"")</f>
        <v/>
      </c>
      <c r="AA85" s="70" t="str">
        <f aca="false">IF(AND(ISNUMBER(SKOR!T48),SKOR!T48=0),SKOR!T$5,"")</f>
        <v/>
      </c>
      <c r="AB85" s="70" t="str">
        <f aca="false">IF(AND(ISNUMBER(SKOR!U48),SKOR!U48=0),SKOR!U$5,"")</f>
        <v/>
      </c>
      <c r="AC85" s="70" t="str">
        <f aca="false">IF(AND(ISNUMBER(SKOR!V48),SKOR!V48=0),SKOR!V$5,"")</f>
        <v/>
      </c>
      <c r="AD85" s="70" t="str">
        <f aca="false">IF(AND(ISNUMBER(SKOR!W48),SKOR!W48=0),SKOR!W$5,"")</f>
        <v/>
      </c>
      <c r="AE85" s="70" t="str">
        <f aca="false">IF(AND(ISNUMBER(SKOR!X48),SKOR!X48=0),SKOR!X$5,"")</f>
        <v/>
      </c>
      <c r="AF85" s="70" t="str">
        <f aca="false">IF(AND(ISNUMBER(SKOR!Y48),SKOR!Y48=0),SKOR!Y$5,"")</f>
        <v/>
      </c>
      <c r="AG85" s="70" t="str">
        <f aca="false">IF(AND(ISNUMBER(SKOR!Z48),SKOR!Z48=0),SKOR!Z$5,"")</f>
        <v/>
      </c>
      <c r="AH85" s="70" t="str">
        <f aca="false">IF(AND(ISNUMBER(SKOR!AA48),SKOR!AA48=0),SKOR!AA$5,"")</f>
        <v/>
      </c>
      <c r="AI85" s="70" t="str">
        <f aca="false">IF(AND(ISNUMBER(SKOR!AB48),SKOR!AB48=0),SKOR!AB$5,"")</f>
        <v/>
      </c>
      <c r="AJ85" s="70" t="str">
        <f aca="false">IF(AND(ISNUMBER(SKOR!AC48),SKOR!AC48=0),SKOR!AC$5,"")</f>
        <v/>
      </c>
      <c r="AK85" s="70" t="str">
        <f aca="false">IF(AND(ISNUMBER(SKOR!AD48),SKOR!AD48=0),SKOR!AD$5,"")</f>
        <v/>
      </c>
      <c r="AL85" s="70" t="str">
        <f aca="false">IF(AND(ISNUMBER(SKOR!AE48),SKOR!AE48=0),SKOR!AE$5,"")</f>
        <v/>
      </c>
      <c r="AM85" s="70" t="str">
        <f aca="false">IF(AND(ISNUMBER(SKOR!AF48),SKOR!AF48=0),SKOR!AF$5,"")</f>
        <v/>
      </c>
      <c r="AN85" s="70" t="str">
        <f aca="false">IF(AND(ISNUMBER(SKOR!AG48),SKOR!AG48=0),SKOR!AG$5,"")</f>
        <v/>
      </c>
      <c r="AO85" s="70" t="str">
        <f aca="false">IF(AND(ISNUMBER(SKOR!AH48),SKOR!AH48=0),SKOR!AH$5,"")</f>
        <v/>
      </c>
      <c r="AP85" s="70" t="str">
        <f aca="false">IF(AND(ISNUMBER(SKOR!AI48),SKOR!AI48=0),SKOR!AI$5,"")</f>
        <v/>
      </c>
      <c r="AQ85" s="70" t="str">
        <f aca="false">IF(AND(ISNUMBER(SKOR!AJ48),SKOR!AJ48=0),SKOR!AJ$5,"")</f>
        <v/>
      </c>
      <c r="AR85" s="70" t="str">
        <f aca="false">IF(AND(ISNUMBER(SKOR!AK48),SKOR!AK48=0),SKOR!AK$5,"")</f>
        <v/>
      </c>
      <c r="AS85" s="70" t="str">
        <f aca="false">IF(AND(ISNUMBER(SKOR!AL48),SKOR!AL48=0),SKOR!AL$5,"")</f>
        <v/>
      </c>
      <c r="AT85" s="70" t="str">
        <f aca="false">IF(AND(ISNUMBER(SKOR!AM48),SKOR!AM48=0),SKOR!AM$5,"")</f>
        <v/>
      </c>
      <c r="AU85" s="70" t="str">
        <f aca="false">IF(AND(ISNUMBER(SKOR!AN48),SKOR!AN48=0),SKOR!AN$5,"")</f>
        <v/>
      </c>
      <c r="AV85" s="70" t="str">
        <f aca="false">IF(AND(ISNUMBER(SKOR!AO48),SKOR!AO48=0),SKOR!AO$5,"")</f>
        <v/>
      </c>
      <c r="AW85" s="70" t="str">
        <f aca="false">IF(AND(ISNUMBER(SKOR!AP48),SKOR!AP48=0),SKOR!AP$5,"")</f>
        <v/>
      </c>
      <c r="AX85" s="70" t="str">
        <f aca="false">IF(AND(ISNUMBER(SKOR!AQ48),SKOR!AQ48=0),SKOR!AQ$5,"")</f>
        <v/>
      </c>
      <c r="AY85" s="70" t="str">
        <f aca="false">IF(AND(ISNUMBER(SKOR!AR48),SKOR!AR48=0),SKOR!AR$5,"")</f>
        <v/>
      </c>
    </row>
    <row r="86" customFormat="false" ht="14.25" hidden="false" customHeight="false" outlineLevel="0" collapsed="false">
      <c r="A86" s="65" t="str">
        <f aca="false">NILAI!A49</f>
        <v/>
      </c>
      <c r="B86" s="66" t="str">
        <f aca="false">NILAI!B49</f>
        <v/>
      </c>
      <c r="C86" s="65" t="str">
        <f aca="false">NILAI!C49</f>
        <v/>
      </c>
      <c r="D86" s="56" t="str">
        <f aca="false">NILAI!F49</f>
        <v/>
      </c>
      <c r="E86" s="67" t="str">
        <f aca="false">IF(D86="","",D86-NILAI_KKM)</f>
        <v/>
      </c>
      <c r="F86" s="68" t="str">
        <f aca="false">IF(D86="","",IF(D86&lt;NILAI_KKM,"Remedial","Pengayaan"))</f>
        <v/>
      </c>
      <c r="G86" s="66" t="str">
        <f aca="false">IF(F86="","",IF(F86="Remedial",IF(D86&lt;BATAS_INTENSIF,"Remedial intensif: pembelajaran ulang + tes ulang","Remedial terbimbing: bahas butir salah + tes ulang"),IF(NILAI!I49="Atas","Pengayaan lanjut: tutor sebaya + soal HOTS","Pengayaan dasar: pendalaman + proyek")))</f>
        <v/>
      </c>
      <c r="H86" s="66" t="str">
        <f aca="false">IF(F86="","",IF(F86="Pengayaan","-",IF(_xlfn.TEXTJOIN(", ",TRUE(),$L86:$AY86)="","-",_xlfn.TEXTJOIN(", ",TRUE(),$L86:$AY86))))</f>
        <v/>
      </c>
      <c r="I86" s="69"/>
      <c r="J86" s="65" t="str">
        <f aca="false">IF(OR(F86&lt;&gt;"Remedial",I86=""),"",IF(I86&gt;=NILAI_KKM,"Tuntas","Belum tuntas"))</f>
        <v/>
      </c>
      <c r="L86" s="70" t="str">
        <f aca="false">IF(AND(ISNUMBER(SKOR!E49),SKOR!E49=0),SKOR!E$5,"")</f>
        <v/>
      </c>
      <c r="M86" s="70" t="str">
        <f aca="false">IF(AND(ISNUMBER(SKOR!F49),SKOR!F49=0),SKOR!F$5,"")</f>
        <v/>
      </c>
      <c r="N86" s="70" t="str">
        <f aca="false">IF(AND(ISNUMBER(SKOR!G49),SKOR!G49=0),SKOR!G$5,"")</f>
        <v/>
      </c>
      <c r="O86" s="70" t="str">
        <f aca="false">IF(AND(ISNUMBER(SKOR!H49),SKOR!H49=0),SKOR!H$5,"")</f>
        <v/>
      </c>
      <c r="P86" s="70" t="str">
        <f aca="false">IF(AND(ISNUMBER(SKOR!I49),SKOR!I49=0),SKOR!I$5,"")</f>
        <v/>
      </c>
      <c r="Q86" s="70" t="str">
        <f aca="false">IF(AND(ISNUMBER(SKOR!J49),SKOR!J49=0),SKOR!J$5,"")</f>
        <v/>
      </c>
      <c r="R86" s="70" t="str">
        <f aca="false">IF(AND(ISNUMBER(SKOR!K49),SKOR!K49=0),SKOR!K$5,"")</f>
        <v/>
      </c>
      <c r="S86" s="70" t="str">
        <f aca="false">IF(AND(ISNUMBER(SKOR!L49),SKOR!L49=0),SKOR!L$5,"")</f>
        <v/>
      </c>
      <c r="T86" s="70" t="str">
        <f aca="false">IF(AND(ISNUMBER(SKOR!M49),SKOR!M49=0),SKOR!M$5,"")</f>
        <v/>
      </c>
      <c r="U86" s="70" t="str">
        <f aca="false">IF(AND(ISNUMBER(SKOR!N49),SKOR!N49=0),SKOR!N$5,"")</f>
        <v/>
      </c>
      <c r="V86" s="70" t="str">
        <f aca="false">IF(AND(ISNUMBER(SKOR!O49),SKOR!O49=0),SKOR!O$5,"")</f>
        <v/>
      </c>
      <c r="W86" s="70" t="str">
        <f aca="false">IF(AND(ISNUMBER(SKOR!P49),SKOR!P49=0),SKOR!P$5,"")</f>
        <v/>
      </c>
      <c r="X86" s="70" t="str">
        <f aca="false">IF(AND(ISNUMBER(SKOR!Q49),SKOR!Q49=0),SKOR!Q$5,"")</f>
        <v/>
      </c>
      <c r="Y86" s="70" t="str">
        <f aca="false">IF(AND(ISNUMBER(SKOR!R49),SKOR!R49=0),SKOR!R$5,"")</f>
        <v/>
      </c>
      <c r="Z86" s="70" t="str">
        <f aca="false">IF(AND(ISNUMBER(SKOR!S49),SKOR!S49=0),SKOR!S$5,"")</f>
        <v/>
      </c>
      <c r="AA86" s="70" t="str">
        <f aca="false">IF(AND(ISNUMBER(SKOR!T49),SKOR!T49=0),SKOR!T$5,"")</f>
        <v/>
      </c>
      <c r="AB86" s="70" t="str">
        <f aca="false">IF(AND(ISNUMBER(SKOR!U49),SKOR!U49=0),SKOR!U$5,"")</f>
        <v/>
      </c>
      <c r="AC86" s="70" t="str">
        <f aca="false">IF(AND(ISNUMBER(SKOR!V49),SKOR!V49=0),SKOR!V$5,"")</f>
        <v/>
      </c>
      <c r="AD86" s="70" t="str">
        <f aca="false">IF(AND(ISNUMBER(SKOR!W49),SKOR!W49=0),SKOR!W$5,"")</f>
        <v/>
      </c>
      <c r="AE86" s="70" t="str">
        <f aca="false">IF(AND(ISNUMBER(SKOR!X49),SKOR!X49=0),SKOR!X$5,"")</f>
        <v/>
      </c>
      <c r="AF86" s="70" t="str">
        <f aca="false">IF(AND(ISNUMBER(SKOR!Y49),SKOR!Y49=0),SKOR!Y$5,"")</f>
        <v/>
      </c>
      <c r="AG86" s="70" t="str">
        <f aca="false">IF(AND(ISNUMBER(SKOR!Z49),SKOR!Z49=0),SKOR!Z$5,"")</f>
        <v/>
      </c>
      <c r="AH86" s="70" t="str">
        <f aca="false">IF(AND(ISNUMBER(SKOR!AA49),SKOR!AA49=0),SKOR!AA$5,"")</f>
        <v/>
      </c>
      <c r="AI86" s="70" t="str">
        <f aca="false">IF(AND(ISNUMBER(SKOR!AB49),SKOR!AB49=0),SKOR!AB$5,"")</f>
        <v/>
      </c>
      <c r="AJ86" s="70" t="str">
        <f aca="false">IF(AND(ISNUMBER(SKOR!AC49),SKOR!AC49=0),SKOR!AC$5,"")</f>
        <v/>
      </c>
      <c r="AK86" s="70" t="str">
        <f aca="false">IF(AND(ISNUMBER(SKOR!AD49),SKOR!AD49=0),SKOR!AD$5,"")</f>
        <v/>
      </c>
      <c r="AL86" s="70" t="str">
        <f aca="false">IF(AND(ISNUMBER(SKOR!AE49),SKOR!AE49=0),SKOR!AE$5,"")</f>
        <v/>
      </c>
      <c r="AM86" s="70" t="str">
        <f aca="false">IF(AND(ISNUMBER(SKOR!AF49),SKOR!AF49=0),SKOR!AF$5,"")</f>
        <v/>
      </c>
      <c r="AN86" s="70" t="str">
        <f aca="false">IF(AND(ISNUMBER(SKOR!AG49),SKOR!AG49=0),SKOR!AG$5,"")</f>
        <v/>
      </c>
      <c r="AO86" s="70" t="str">
        <f aca="false">IF(AND(ISNUMBER(SKOR!AH49),SKOR!AH49=0),SKOR!AH$5,"")</f>
        <v/>
      </c>
      <c r="AP86" s="70" t="str">
        <f aca="false">IF(AND(ISNUMBER(SKOR!AI49),SKOR!AI49=0),SKOR!AI$5,"")</f>
        <v/>
      </c>
      <c r="AQ86" s="70" t="str">
        <f aca="false">IF(AND(ISNUMBER(SKOR!AJ49),SKOR!AJ49=0),SKOR!AJ$5,"")</f>
        <v/>
      </c>
      <c r="AR86" s="70" t="str">
        <f aca="false">IF(AND(ISNUMBER(SKOR!AK49),SKOR!AK49=0),SKOR!AK$5,"")</f>
        <v/>
      </c>
      <c r="AS86" s="70" t="str">
        <f aca="false">IF(AND(ISNUMBER(SKOR!AL49),SKOR!AL49=0),SKOR!AL$5,"")</f>
        <v/>
      </c>
      <c r="AT86" s="70" t="str">
        <f aca="false">IF(AND(ISNUMBER(SKOR!AM49),SKOR!AM49=0),SKOR!AM$5,"")</f>
        <v/>
      </c>
      <c r="AU86" s="70" t="str">
        <f aca="false">IF(AND(ISNUMBER(SKOR!AN49),SKOR!AN49=0),SKOR!AN$5,"")</f>
        <v/>
      </c>
      <c r="AV86" s="70" t="str">
        <f aca="false">IF(AND(ISNUMBER(SKOR!AO49),SKOR!AO49=0),SKOR!AO$5,"")</f>
        <v/>
      </c>
      <c r="AW86" s="70" t="str">
        <f aca="false">IF(AND(ISNUMBER(SKOR!AP49),SKOR!AP49=0),SKOR!AP$5,"")</f>
        <v/>
      </c>
      <c r="AX86" s="70" t="str">
        <f aca="false">IF(AND(ISNUMBER(SKOR!AQ49),SKOR!AQ49=0),SKOR!AQ$5,"")</f>
        <v/>
      </c>
      <c r="AY86" s="70" t="str">
        <f aca="false">IF(AND(ISNUMBER(SKOR!AR49),SKOR!AR49=0),SKOR!AR$5,"")</f>
        <v/>
      </c>
    </row>
    <row r="87" customFormat="false" ht="14.25" hidden="false" customHeight="false" outlineLevel="0" collapsed="false">
      <c r="A87" s="65" t="str">
        <f aca="false">NILAI!A50</f>
        <v/>
      </c>
      <c r="B87" s="66" t="str">
        <f aca="false">NILAI!B50</f>
        <v/>
      </c>
      <c r="C87" s="65" t="str">
        <f aca="false">NILAI!C50</f>
        <v/>
      </c>
      <c r="D87" s="56" t="str">
        <f aca="false">NILAI!F50</f>
        <v/>
      </c>
      <c r="E87" s="67" t="str">
        <f aca="false">IF(D87="","",D87-NILAI_KKM)</f>
        <v/>
      </c>
      <c r="F87" s="68" t="str">
        <f aca="false">IF(D87="","",IF(D87&lt;NILAI_KKM,"Remedial","Pengayaan"))</f>
        <v/>
      </c>
      <c r="G87" s="66" t="str">
        <f aca="false">IF(F87="","",IF(F87="Remedial",IF(D87&lt;BATAS_INTENSIF,"Remedial intensif: pembelajaran ulang + tes ulang","Remedial terbimbing: bahas butir salah + tes ulang"),IF(NILAI!I50="Atas","Pengayaan lanjut: tutor sebaya + soal HOTS","Pengayaan dasar: pendalaman + proyek")))</f>
        <v/>
      </c>
      <c r="H87" s="66" t="str">
        <f aca="false">IF(F87="","",IF(F87="Pengayaan","-",IF(_xlfn.TEXTJOIN(", ",TRUE(),$L87:$AY87)="","-",_xlfn.TEXTJOIN(", ",TRUE(),$L87:$AY87))))</f>
        <v/>
      </c>
      <c r="I87" s="69"/>
      <c r="J87" s="65" t="str">
        <f aca="false">IF(OR(F87&lt;&gt;"Remedial",I87=""),"",IF(I87&gt;=NILAI_KKM,"Tuntas","Belum tuntas"))</f>
        <v/>
      </c>
      <c r="L87" s="70" t="str">
        <f aca="false">IF(AND(ISNUMBER(SKOR!E50),SKOR!E50=0),SKOR!E$5,"")</f>
        <v/>
      </c>
      <c r="M87" s="70" t="str">
        <f aca="false">IF(AND(ISNUMBER(SKOR!F50),SKOR!F50=0),SKOR!F$5,"")</f>
        <v/>
      </c>
      <c r="N87" s="70" t="str">
        <f aca="false">IF(AND(ISNUMBER(SKOR!G50),SKOR!G50=0),SKOR!G$5,"")</f>
        <v/>
      </c>
      <c r="O87" s="70" t="str">
        <f aca="false">IF(AND(ISNUMBER(SKOR!H50),SKOR!H50=0),SKOR!H$5,"")</f>
        <v/>
      </c>
      <c r="P87" s="70" t="str">
        <f aca="false">IF(AND(ISNUMBER(SKOR!I50),SKOR!I50=0),SKOR!I$5,"")</f>
        <v/>
      </c>
      <c r="Q87" s="70" t="str">
        <f aca="false">IF(AND(ISNUMBER(SKOR!J50),SKOR!J50=0),SKOR!J$5,"")</f>
        <v/>
      </c>
      <c r="R87" s="70" t="str">
        <f aca="false">IF(AND(ISNUMBER(SKOR!K50),SKOR!K50=0),SKOR!K$5,"")</f>
        <v/>
      </c>
      <c r="S87" s="70" t="str">
        <f aca="false">IF(AND(ISNUMBER(SKOR!L50),SKOR!L50=0),SKOR!L$5,"")</f>
        <v/>
      </c>
      <c r="T87" s="70" t="str">
        <f aca="false">IF(AND(ISNUMBER(SKOR!M50),SKOR!M50=0),SKOR!M$5,"")</f>
        <v/>
      </c>
      <c r="U87" s="70" t="str">
        <f aca="false">IF(AND(ISNUMBER(SKOR!N50),SKOR!N50=0),SKOR!N$5,"")</f>
        <v/>
      </c>
      <c r="V87" s="70" t="str">
        <f aca="false">IF(AND(ISNUMBER(SKOR!O50),SKOR!O50=0),SKOR!O$5,"")</f>
        <v/>
      </c>
      <c r="W87" s="70" t="str">
        <f aca="false">IF(AND(ISNUMBER(SKOR!P50),SKOR!P50=0),SKOR!P$5,"")</f>
        <v/>
      </c>
      <c r="X87" s="70" t="str">
        <f aca="false">IF(AND(ISNUMBER(SKOR!Q50),SKOR!Q50=0),SKOR!Q$5,"")</f>
        <v/>
      </c>
      <c r="Y87" s="70" t="str">
        <f aca="false">IF(AND(ISNUMBER(SKOR!R50),SKOR!R50=0),SKOR!R$5,"")</f>
        <v/>
      </c>
      <c r="Z87" s="70" t="str">
        <f aca="false">IF(AND(ISNUMBER(SKOR!S50),SKOR!S50=0),SKOR!S$5,"")</f>
        <v/>
      </c>
      <c r="AA87" s="70" t="str">
        <f aca="false">IF(AND(ISNUMBER(SKOR!T50),SKOR!T50=0),SKOR!T$5,"")</f>
        <v/>
      </c>
      <c r="AB87" s="70" t="str">
        <f aca="false">IF(AND(ISNUMBER(SKOR!U50),SKOR!U50=0),SKOR!U$5,"")</f>
        <v/>
      </c>
      <c r="AC87" s="70" t="str">
        <f aca="false">IF(AND(ISNUMBER(SKOR!V50),SKOR!V50=0),SKOR!V$5,"")</f>
        <v/>
      </c>
      <c r="AD87" s="70" t="str">
        <f aca="false">IF(AND(ISNUMBER(SKOR!W50),SKOR!W50=0),SKOR!W$5,"")</f>
        <v/>
      </c>
      <c r="AE87" s="70" t="str">
        <f aca="false">IF(AND(ISNUMBER(SKOR!X50),SKOR!X50=0),SKOR!X$5,"")</f>
        <v/>
      </c>
      <c r="AF87" s="70" t="str">
        <f aca="false">IF(AND(ISNUMBER(SKOR!Y50),SKOR!Y50=0),SKOR!Y$5,"")</f>
        <v/>
      </c>
      <c r="AG87" s="70" t="str">
        <f aca="false">IF(AND(ISNUMBER(SKOR!Z50),SKOR!Z50=0),SKOR!Z$5,"")</f>
        <v/>
      </c>
      <c r="AH87" s="70" t="str">
        <f aca="false">IF(AND(ISNUMBER(SKOR!AA50),SKOR!AA50=0),SKOR!AA$5,"")</f>
        <v/>
      </c>
      <c r="AI87" s="70" t="str">
        <f aca="false">IF(AND(ISNUMBER(SKOR!AB50),SKOR!AB50=0),SKOR!AB$5,"")</f>
        <v/>
      </c>
      <c r="AJ87" s="70" t="str">
        <f aca="false">IF(AND(ISNUMBER(SKOR!AC50),SKOR!AC50=0),SKOR!AC$5,"")</f>
        <v/>
      </c>
      <c r="AK87" s="70" t="str">
        <f aca="false">IF(AND(ISNUMBER(SKOR!AD50),SKOR!AD50=0),SKOR!AD$5,"")</f>
        <v/>
      </c>
      <c r="AL87" s="70" t="str">
        <f aca="false">IF(AND(ISNUMBER(SKOR!AE50),SKOR!AE50=0),SKOR!AE$5,"")</f>
        <v/>
      </c>
      <c r="AM87" s="70" t="str">
        <f aca="false">IF(AND(ISNUMBER(SKOR!AF50),SKOR!AF50=0),SKOR!AF$5,"")</f>
        <v/>
      </c>
      <c r="AN87" s="70" t="str">
        <f aca="false">IF(AND(ISNUMBER(SKOR!AG50),SKOR!AG50=0),SKOR!AG$5,"")</f>
        <v/>
      </c>
      <c r="AO87" s="70" t="str">
        <f aca="false">IF(AND(ISNUMBER(SKOR!AH50),SKOR!AH50=0),SKOR!AH$5,"")</f>
        <v/>
      </c>
      <c r="AP87" s="70" t="str">
        <f aca="false">IF(AND(ISNUMBER(SKOR!AI50),SKOR!AI50=0),SKOR!AI$5,"")</f>
        <v/>
      </c>
      <c r="AQ87" s="70" t="str">
        <f aca="false">IF(AND(ISNUMBER(SKOR!AJ50),SKOR!AJ50=0),SKOR!AJ$5,"")</f>
        <v/>
      </c>
      <c r="AR87" s="70" t="str">
        <f aca="false">IF(AND(ISNUMBER(SKOR!AK50),SKOR!AK50=0),SKOR!AK$5,"")</f>
        <v/>
      </c>
      <c r="AS87" s="70" t="str">
        <f aca="false">IF(AND(ISNUMBER(SKOR!AL50),SKOR!AL50=0),SKOR!AL$5,"")</f>
        <v/>
      </c>
      <c r="AT87" s="70" t="str">
        <f aca="false">IF(AND(ISNUMBER(SKOR!AM50),SKOR!AM50=0),SKOR!AM$5,"")</f>
        <v/>
      </c>
      <c r="AU87" s="70" t="str">
        <f aca="false">IF(AND(ISNUMBER(SKOR!AN50),SKOR!AN50=0),SKOR!AN$5,"")</f>
        <v/>
      </c>
      <c r="AV87" s="70" t="str">
        <f aca="false">IF(AND(ISNUMBER(SKOR!AO50),SKOR!AO50=0),SKOR!AO$5,"")</f>
        <v/>
      </c>
      <c r="AW87" s="70" t="str">
        <f aca="false">IF(AND(ISNUMBER(SKOR!AP50),SKOR!AP50=0),SKOR!AP$5,"")</f>
        <v/>
      </c>
      <c r="AX87" s="70" t="str">
        <f aca="false">IF(AND(ISNUMBER(SKOR!AQ50),SKOR!AQ50=0),SKOR!AQ$5,"")</f>
        <v/>
      </c>
      <c r="AY87" s="70" t="str">
        <f aca="false">IF(AND(ISNUMBER(SKOR!AR50),SKOR!AR50=0),SKOR!AR$5,"")</f>
        <v/>
      </c>
    </row>
    <row r="88" customFormat="false" ht="14.25" hidden="false" customHeight="false" outlineLevel="0" collapsed="false">
      <c r="A88" s="65" t="str">
        <f aca="false">NILAI!A51</f>
        <v/>
      </c>
      <c r="B88" s="66" t="str">
        <f aca="false">NILAI!B51</f>
        <v/>
      </c>
      <c r="C88" s="65" t="str">
        <f aca="false">NILAI!C51</f>
        <v/>
      </c>
      <c r="D88" s="56" t="str">
        <f aca="false">NILAI!F51</f>
        <v/>
      </c>
      <c r="E88" s="67" t="str">
        <f aca="false">IF(D88="","",D88-NILAI_KKM)</f>
        <v/>
      </c>
      <c r="F88" s="68" t="str">
        <f aca="false">IF(D88="","",IF(D88&lt;NILAI_KKM,"Remedial","Pengayaan"))</f>
        <v/>
      </c>
      <c r="G88" s="66" t="str">
        <f aca="false">IF(F88="","",IF(F88="Remedial",IF(D88&lt;BATAS_INTENSIF,"Remedial intensif: pembelajaran ulang + tes ulang","Remedial terbimbing: bahas butir salah + tes ulang"),IF(NILAI!I51="Atas","Pengayaan lanjut: tutor sebaya + soal HOTS","Pengayaan dasar: pendalaman + proyek")))</f>
        <v/>
      </c>
      <c r="H88" s="66" t="str">
        <f aca="false">IF(F88="","",IF(F88="Pengayaan","-",IF(_xlfn.TEXTJOIN(", ",TRUE(),$L88:$AY88)="","-",_xlfn.TEXTJOIN(", ",TRUE(),$L88:$AY88))))</f>
        <v/>
      </c>
      <c r="I88" s="69"/>
      <c r="J88" s="65" t="str">
        <f aca="false">IF(OR(F88&lt;&gt;"Remedial",I88=""),"",IF(I88&gt;=NILAI_KKM,"Tuntas","Belum tuntas"))</f>
        <v/>
      </c>
      <c r="L88" s="70" t="str">
        <f aca="false">IF(AND(ISNUMBER(SKOR!E51),SKOR!E51=0),SKOR!E$5,"")</f>
        <v/>
      </c>
      <c r="M88" s="70" t="str">
        <f aca="false">IF(AND(ISNUMBER(SKOR!F51),SKOR!F51=0),SKOR!F$5,"")</f>
        <v/>
      </c>
      <c r="N88" s="70" t="str">
        <f aca="false">IF(AND(ISNUMBER(SKOR!G51),SKOR!G51=0),SKOR!G$5,"")</f>
        <v/>
      </c>
      <c r="O88" s="70" t="str">
        <f aca="false">IF(AND(ISNUMBER(SKOR!H51),SKOR!H51=0),SKOR!H$5,"")</f>
        <v/>
      </c>
      <c r="P88" s="70" t="str">
        <f aca="false">IF(AND(ISNUMBER(SKOR!I51),SKOR!I51=0),SKOR!I$5,"")</f>
        <v/>
      </c>
      <c r="Q88" s="70" t="str">
        <f aca="false">IF(AND(ISNUMBER(SKOR!J51),SKOR!J51=0),SKOR!J$5,"")</f>
        <v/>
      </c>
      <c r="R88" s="70" t="str">
        <f aca="false">IF(AND(ISNUMBER(SKOR!K51),SKOR!K51=0),SKOR!K$5,"")</f>
        <v/>
      </c>
      <c r="S88" s="70" t="str">
        <f aca="false">IF(AND(ISNUMBER(SKOR!L51),SKOR!L51=0),SKOR!L$5,"")</f>
        <v/>
      </c>
      <c r="T88" s="70" t="str">
        <f aca="false">IF(AND(ISNUMBER(SKOR!M51),SKOR!M51=0),SKOR!M$5,"")</f>
        <v/>
      </c>
      <c r="U88" s="70" t="str">
        <f aca="false">IF(AND(ISNUMBER(SKOR!N51),SKOR!N51=0),SKOR!N$5,"")</f>
        <v/>
      </c>
      <c r="V88" s="70" t="str">
        <f aca="false">IF(AND(ISNUMBER(SKOR!O51),SKOR!O51=0),SKOR!O$5,"")</f>
        <v/>
      </c>
      <c r="W88" s="70" t="str">
        <f aca="false">IF(AND(ISNUMBER(SKOR!P51),SKOR!P51=0),SKOR!P$5,"")</f>
        <v/>
      </c>
      <c r="X88" s="70" t="str">
        <f aca="false">IF(AND(ISNUMBER(SKOR!Q51),SKOR!Q51=0),SKOR!Q$5,"")</f>
        <v/>
      </c>
      <c r="Y88" s="70" t="str">
        <f aca="false">IF(AND(ISNUMBER(SKOR!R51),SKOR!R51=0),SKOR!R$5,"")</f>
        <v/>
      </c>
      <c r="Z88" s="70" t="str">
        <f aca="false">IF(AND(ISNUMBER(SKOR!S51),SKOR!S51=0),SKOR!S$5,"")</f>
        <v/>
      </c>
      <c r="AA88" s="70" t="str">
        <f aca="false">IF(AND(ISNUMBER(SKOR!T51),SKOR!T51=0),SKOR!T$5,"")</f>
        <v/>
      </c>
      <c r="AB88" s="70" t="str">
        <f aca="false">IF(AND(ISNUMBER(SKOR!U51),SKOR!U51=0),SKOR!U$5,"")</f>
        <v/>
      </c>
      <c r="AC88" s="70" t="str">
        <f aca="false">IF(AND(ISNUMBER(SKOR!V51),SKOR!V51=0),SKOR!V$5,"")</f>
        <v/>
      </c>
      <c r="AD88" s="70" t="str">
        <f aca="false">IF(AND(ISNUMBER(SKOR!W51),SKOR!W51=0),SKOR!W$5,"")</f>
        <v/>
      </c>
      <c r="AE88" s="70" t="str">
        <f aca="false">IF(AND(ISNUMBER(SKOR!X51),SKOR!X51=0),SKOR!X$5,"")</f>
        <v/>
      </c>
      <c r="AF88" s="70" t="str">
        <f aca="false">IF(AND(ISNUMBER(SKOR!Y51),SKOR!Y51=0),SKOR!Y$5,"")</f>
        <v/>
      </c>
      <c r="AG88" s="70" t="str">
        <f aca="false">IF(AND(ISNUMBER(SKOR!Z51),SKOR!Z51=0),SKOR!Z$5,"")</f>
        <v/>
      </c>
      <c r="AH88" s="70" t="str">
        <f aca="false">IF(AND(ISNUMBER(SKOR!AA51),SKOR!AA51=0),SKOR!AA$5,"")</f>
        <v/>
      </c>
      <c r="AI88" s="70" t="str">
        <f aca="false">IF(AND(ISNUMBER(SKOR!AB51),SKOR!AB51=0),SKOR!AB$5,"")</f>
        <v/>
      </c>
      <c r="AJ88" s="70" t="str">
        <f aca="false">IF(AND(ISNUMBER(SKOR!AC51),SKOR!AC51=0),SKOR!AC$5,"")</f>
        <v/>
      </c>
      <c r="AK88" s="70" t="str">
        <f aca="false">IF(AND(ISNUMBER(SKOR!AD51),SKOR!AD51=0),SKOR!AD$5,"")</f>
        <v/>
      </c>
      <c r="AL88" s="70" t="str">
        <f aca="false">IF(AND(ISNUMBER(SKOR!AE51),SKOR!AE51=0),SKOR!AE$5,"")</f>
        <v/>
      </c>
      <c r="AM88" s="70" t="str">
        <f aca="false">IF(AND(ISNUMBER(SKOR!AF51),SKOR!AF51=0),SKOR!AF$5,"")</f>
        <v/>
      </c>
      <c r="AN88" s="70" t="str">
        <f aca="false">IF(AND(ISNUMBER(SKOR!AG51),SKOR!AG51=0),SKOR!AG$5,"")</f>
        <v/>
      </c>
      <c r="AO88" s="70" t="str">
        <f aca="false">IF(AND(ISNUMBER(SKOR!AH51),SKOR!AH51=0),SKOR!AH$5,"")</f>
        <v/>
      </c>
      <c r="AP88" s="70" t="str">
        <f aca="false">IF(AND(ISNUMBER(SKOR!AI51),SKOR!AI51=0),SKOR!AI$5,"")</f>
        <v/>
      </c>
      <c r="AQ88" s="70" t="str">
        <f aca="false">IF(AND(ISNUMBER(SKOR!AJ51),SKOR!AJ51=0),SKOR!AJ$5,"")</f>
        <v/>
      </c>
      <c r="AR88" s="70" t="str">
        <f aca="false">IF(AND(ISNUMBER(SKOR!AK51),SKOR!AK51=0),SKOR!AK$5,"")</f>
        <v/>
      </c>
      <c r="AS88" s="70" t="str">
        <f aca="false">IF(AND(ISNUMBER(SKOR!AL51),SKOR!AL51=0),SKOR!AL$5,"")</f>
        <v/>
      </c>
      <c r="AT88" s="70" t="str">
        <f aca="false">IF(AND(ISNUMBER(SKOR!AM51),SKOR!AM51=0),SKOR!AM$5,"")</f>
        <v/>
      </c>
      <c r="AU88" s="70" t="str">
        <f aca="false">IF(AND(ISNUMBER(SKOR!AN51),SKOR!AN51=0),SKOR!AN$5,"")</f>
        <v/>
      </c>
      <c r="AV88" s="70" t="str">
        <f aca="false">IF(AND(ISNUMBER(SKOR!AO51),SKOR!AO51=0),SKOR!AO$5,"")</f>
        <v/>
      </c>
      <c r="AW88" s="70" t="str">
        <f aca="false">IF(AND(ISNUMBER(SKOR!AP51),SKOR!AP51=0),SKOR!AP$5,"")</f>
        <v/>
      </c>
      <c r="AX88" s="70" t="str">
        <f aca="false">IF(AND(ISNUMBER(SKOR!AQ51),SKOR!AQ51=0),SKOR!AQ$5,"")</f>
        <v/>
      </c>
      <c r="AY88" s="70" t="str">
        <f aca="false">IF(AND(ISNUMBER(SKOR!AR51),SKOR!AR51=0),SKOR!AR$5,"")</f>
        <v/>
      </c>
    </row>
    <row r="89" customFormat="false" ht="14.25" hidden="false" customHeight="false" outlineLevel="0" collapsed="false">
      <c r="A89" s="65" t="str">
        <f aca="false">NILAI!A52</f>
        <v/>
      </c>
      <c r="B89" s="66" t="str">
        <f aca="false">NILAI!B52</f>
        <v/>
      </c>
      <c r="C89" s="65" t="str">
        <f aca="false">NILAI!C52</f>
        <v/>
      </c>
      <c r="D89" s="56" t="str">
        <f aca="false">NILAI!F52</f>
        <v/>
      </c>
      <c r="E89" s="67" t="str">
        <f aca="false">IF(D89="","",D89-NILAI_KKM)</f>
        <v/>
      </c>
      <c r="F89" s="68" t="str">
        <f aca="false">IF(D89="","",IF(D89&lt;NILAI_KKM,"Remedial","Pengayaan"))</f>
        <v/>
      </c>
      <c r="G89" s="66" t="str">
        <f aca="false">IF(F89="","",IF(F89="Remedial",IF(D89&lt;BATAS_INTENSIF,"Remedial intensif: pembelajaran ulang + tes ulang","Remedial terbimbing: bahas butir salah + tes ulang"),IF(NILAI!I52="Atas","Pengayaan lanjut: tutor sebaya + soal HOTS","Pengayaan dasar: pendalaman + proyek")))</f>
        <v/>
      </c>
      <c r="H89" s="66" t="str">
        <f aca="false">IF(F89="","",IF(F89="Pengayaan","-",IF(_xlfn.TEXTJOIN(", ",TRUE(),$L89:$AY89)="","-",_xlfn.TEXTJOIN(", ",TRUE(),$L89:$AY89))))</f>
        <v/>
      </c>
      <c r="I89" s="69"/>
      <c r="J89" s="65" t="str">
        <f aca="false">IF(OR(F89&lt;&gt;"Remedial",I89=""),"",IF(I89&gt;=NILAI_KKM,"Tuntas","Belum tuntas"))</f>
        <v/>
      </c>
      <c r="L89" s="70" t="str">
        <f aca="false">IF(AND(ISNUMBER(SKOR!E52),SKOR!E52=0),SKOR!E$5,"")</f>
        <v/>
      </c>
      <c r="M89" s="70" t="str">
        <f aca="false">IF(AND(ISNUMBER(SKOR!F52),SKOR!F52=0),SKOR!F$5,"")</f>
        <v/>
      </c>
      <c r="N89" s="70" t="str">
        <f aca="false">IF(AND(ISNUMBER(SKOR!G52),SKOR!G52=0),SKOR!G$5,"")</f>
        <v/>
      </c>
      <c r="O89" s="70" t="str">
        <f aca="false">IF(AND(ISNUMBER(SKOR!H52),SKOR!H52=0),SKOR!H$5,"")</f>
        <v/>
      </c>
      <c r="P89" s="70" t="str">
        <f aca="false">IF(AND(ISNUMBER(SKOR!I52),SKOR!I52=0),SKOR!I$5,"")</f>
        <v/>
      </c>
      <c r="Q89" s="70" t="str">
        <f aca="false">IF(AND(ISNUMBER(SKOR!J52),SKOR!J52=0),SKOR!J$5,"")</f>
        <v/>
      </c>
      <c r="R89" s="70" t="str">
        <f aca="false">IF(AND(ISNUMBER(SKOR!K52),SKOR!K52=0),SKOR!K$5,"")</f>
        <v/>
      </c>
      <c r="S89" s="70" t="str">
        <f aca="false">IF(AND(ISNUMBER(SKOR!L52),SKOR!L52=0),SKOR!L$5,"")</f>
        <v/>
      </c>
      <c r="T89" s="70" t="str">
        <f aca="false">IF(AND(ISNUMBER(SKOR!M52),SKOR!M52=0),SKOR!M$5,"")</f>
        <v/>
      </c>
      <c r="U89" s="70" t="str">
        <f aca="false">IF(AND(ISNUMBER(SKOR!N52),SKOR!N52=0),SKOR!N$5,"")</f>
        <v/>
      </c>
      <c r="V89" s="70" t="str">
        <f aca="false">IF(AND(ISNUMBER(SKOR!O52),SKOR!O52=0),SKOR!O$5,"")</f>
        <v/>
      </c>
      <c r="W89" s="70" t="str">
        <f aca="false">IF(AND(ISNUMBER(SKOR!P52),SKOR!P52=0),SKOR!P$5,"")</f>
        <v/>
      </c>
      <c r="X89" s="70" t="str">
        <f aca="false">IF(AND(ISNUMBER(SKOR!Q52),SKOR!Q52=0),SKOR!Q$5,"")</f>
        <v/>
      </c>
      <c r="Y89" s="70" t="str">
        <f aca="false">IF(AND(ISNUMBER(SKOR!R52),SKOR!R52=0),SKOR!R$5,"")</f>
        <v/>
      </c>
      <c r="Z89" s="70" t="str">
        <f aca="false">IF(AND(ISNUMBER(SKOR!S52),SKOR!S52=0),SKOR!S$5,"")</f>
        <v/>
      </c>
      <c r="AA89" s="70" t="str">
        <f aca="false">IF(AND(ISNUMBER(SKOR!T52),SKOR!T52=0),SKOR!T$5,"")</f>
        <v/>
      </c>
      <c r="AB89" s="70" t="str">
        <f aca="false">IF(AND(ISNUMBER(SKOR!U52),SKOR!U52=0),SKOR!U$5,"")</f>
        <v/>
      </c>
      <c r="AC89" s="70" t="str">
        <f aca="false">IF(AND(ISNUMBER(SKOR!V52),SKOR!V52=0),SKOR!V$5,"")</f>
        <v/>
      </c>
      <c r="AD89" s="70" t="str">
        <f aca="false">IF(AND(ISNUMBER(SKOR!W52),SKOR!W52=0),SKOR!W$5,"")</f>
        <v/>
      </c>
      <c r="AE89" s="70" t="str">
        <f aca="false">IF(AND(ISNUMBER(SKOR!X52),SKOR!X52=0),SKOR!X$5,"")</f>
        <v/>
      </c>
      <c r="AF89" s="70" t="str">
        <f aca="false">IF(AND(ISNUMBER(SKOR!Y52),SKOR!Y52=0),SKOR!Y$5,"")</f>
        <v/>
      </c>
      <c r="AG89" s="70" t="str">
        <f aca="false">IF(AND(ISNUMBER(SKOR!Z52),SKOR!Z52=0),SKOR!Z$5,"")</f>
        <v/>
      </c>
      <c r="AH89" s="70" t="str">
        <f aca="false">IF(AND(ISNUMBER(SKOR!AA52),SKOR!AA52=0),SKOR!AA$5,"")</f>
        <v/>
      </c>
      <c r="AI89" s="70" t="str">
        <f aca="false">IF(AND(ISNUMBER(SKOR!AB52),SKOR!AB52=0),SKOR!AB$5,"")</f>
        <v/>
      </c>
      <c r="AJ89" s="70" t="str">
        <f aca="false">IF(AND(ISNUMBER(SKOR!AC52),SKOR!AC52=0),SKOR!AC$5,"")</f>
        <v/>
      </c>
      <c r="AK89" s="70" t="str">
        <f aca="false">IF(AND(ISNUMBER(SKOR!AD52),SKOR!AD52=0),SKOR!AD$5,"")</f>
        <v/>
      </c>
      <c r="AL89" s="70" t="str">
        <f aca="false">IF(AND(ISNUMBER(SKOR!AE52),SKOR!AE52=0),SKOR!AE$5,"")</f>
        <v/>
      </c>
      <c r="AM89" s="70" t="str">
        <f aca="false">IF(AND(ISNUMBER(SKOR!AF52),SKOR!AF52=0),SKOR!AF$5,"")</f>
        <v/>
      </c>
      <c r="AN89" s="70" t="str">
        <f aca="false">IF(AND(ISNUMBER(SKOR!AG52),SKOR!AG52=0),SKOR!AG$5,"")</f>
        <v/>
      </c>
      <c r="AO89" s="70" t="str">
        <f aca="false">IF(AND(ISNUMBER(SKOR!AH52),SKOR!AH52=0),SKOR!AH$5,"")</f>
        <v/>
      </c>
      <c r="AP89" s="70" t="str">
        <f aca="false">IF(AND(ISNUMBER(SKOR!AI52),SKOR!AI52=0),SKOR!AI$5,"")</f>
        <v/>
      </c>
      <c r="AQ89" s="70" t="str">
        <f aca="false">IF(AND(ISNUMBER(SKOR!AJ52),SKOR!AJ52=0),SKOR!AJ$5,"")</f>
        <v/>
      </c>
      <c r="AR89" s="70" t="str">
        <f aca="false">IF(AND(ISNUMBER(SKOR!AK52),SKOR!AK52=0),SKOR!AK$5,"")</f>
        <v/>
      </c>
      <c r="AS89" s="70" t="str">
        <f aca="false">IF(AND(ISNUMBER(SKOR!AL52),SKOR!AL52=0),SKOR!AL$5,"")</f>
        <v/>
      </c>
      <c r="AT89" s="70" t="str">
        <f aca="false">IF(AND(ISNUMBER(SKOR!AM52),SKOR!AM52=0),SKOR!AM$5,"")</f>
        <v/>
      </c>
      <c r="AU89" s="70" t="str">
        <f aca="false">IF(AND(ISNUMBER(SKOR!AN52),SKOR!AN52=0),SKOR!AN$5,"")</f>
        <v/>
      </c>
      <c r="AV89" s="70" t="str">
        <f aca="false">IF(AND(ISNUMBER(SKOR!AO52),SKOR!AO52=0),SKOR!AO$5,"")</f>
        <v/>
      </c>
      <c r="AW89" s="70" t="str">
        <f aca="false">IF(AND(ISNUMBER(SKOR!AP52),SKOR!AP52=0),SKOR!AP$5,"")</f>
        <v/>
      </c>
      <c r="AX89" s="70" t="str">
        <f aca="false">IF(AND(ISNUMBER(SKOR!AQ52),SKOR!AQ52=0),SKOR!AQ$5,"")</f>
        <v/>
      </c>
      <c r="AY89" s="70" t="str">
        <f aca="false">IF(AND(ISNUMBER(SKOR!AR52),SKOR!AR52=0),SKOR!AR$5,"")</f>
        <v/>
      </c>
    </row>
    <row r="90" customFormat="false" ht="14.25" hidden="false" customHeight="false" outlineLevel="0" collapsed="false">
      <c r="A90" s="65" t="str">
        <f aca="false">NILAI!A53</f>
        <v/>
      </c>
      <c r="B90" s="66" t="str">
        <f aca="false">NILAI!B53</f>
        <v/>
      </c>
      <c r="C90" s="65" t="str">
        <f aca="false">NILAI!C53</f>
        <v/>
      </c>
      <c r="D90" s="56" t="str">
        <f aca="false">NILAI!F53</f>
        <v/>
      </c>
      <c r="E90" s="67" t="str">
        <f aca="false">IF(D90="","",D90-NILAI_KKM)</f>
        <v/>
      </c>
      <c r="F90" s="68" t="str">
        <f aca="false">IF(D90="","",IF(D90&lt;NILAI_KKM,"Remedial","Pengayaan"))</f>
        <v/>
      </c>
      <c r="G90" s="66" t="str">
        <f aca="false">IF(F90="","",IF(F90="Remedial",IF(D90&lt;BATAS_INTENSIF,"Remedial intensif: pembelajaran ulang + tes ulang","Remedial terbimbing: bahas butir salah + tes ulang"),IF(NILAI!I53="Atas","Pengayaan lanjut: tutor sebaya + soal HOTS","Pengayaan dasar: pendalaman + proyek")))</f>
        <v/>
      </c>
      <c r="H90" s="66" t="str">
        <f aca="false">IF(F90="","",IF(F90="Pengayaan","-",IF(_xlfn.TEXTJOIN(", ",TRUE(),$L90:$AY90)="","-",_xlfn.TEXTJOIN(", ",TRUE(),$L90:$AY90))))</f>
        <v/>
      </c>
      <c r="I90" s="69"/>
      <c r="J90" s="65" t="str">
        <f aca="false">IF(OR(F90&lt;&gt;"Remedial",I90=""),"",IF(I90&gt;=NILAI_KKM,"Tuntas","Belum tuntas"))</f>
        <v/>
      </c>
      <c r="L90" s="70" t="str">
        <f aca="false">IF(AND(ISNUMBER(SKOR!E53),SKOR!E53=0),SKOR!E$5,"")</f>
        <v/>
      </c>
      <c r="M90" s="70" t="str">
        <f aca="false">IF(AND(ISNUMBER(SKOR!F53),SKOR!F53=0),SKOR!F$5,"")</f>
        <v/>
      </c>
      <c r="N90" s="70" t="str">
        <f aca="false">IF(AND(ISNUMBER(SKOR!G53),SKOR!G53=0),SKOR!G$5,"")</f>
        <v/>
      </c>
      <c r="O90" s="70" t="str">
        <f aca="false">IF(AND(ISNUMBER(SKOR!H53),SKOR!H53=0),SKOR!H$5,"")</f>
        <v/>
      </c>
      <c r="P90" s="70" t="str">
        <f aca="false">IF(AND(ISNUMBER(SKOR!I53),SKOR!I53=0),SKOR!I$5,"")</f>
        <v/>
      </c>
      <c r="Q90" s="70" t="str">
        <f aca="false">IF(AND(ISNUMBER(SKOR!J53),SKOR!J53=0),SKOR!J$5,"")</f>
        <v/>
      </c>
      <c r="R90" s="70" t="str">
        <f aca="false">IF(AND(ISNUMBER(SKOR!K53),SKOR!K53=0),SKOR!K$5,"")</f>
        <v/>
      </c>
      <c r="S90" s="70" t="str">
        <f aca="false">IF(AND(ISNUMBER(SKOR!L53),SKOR!L53=0),SKOR!L$5,"")</f>
        <v/>
      </c>
      <c r="T90" s="70" t="str">
        <f aca="false">IF(AND(ISNUMBER(SKOR!M53),SKOR!M53=0),SKOR!M$5,"")</f>
        <v/>
      </c>
      <c r="U90" s="70" t="str">
        <f aca="false">IF(AND(ISNUMBER(SKOR!N53),SKOR!N53=0),SKOR!N$5,"")</f>
        <v/>
      </c>
      <c r="V90" s="70" t="str">
        <f aca="false">IF(AND(ISNUMBER(SKOR!O53),SKOR!O53=0),SKOR!O$5,"")</f>
        <v/>
      </c>
      <c r="W90" s="70" t="str">
        <f aca="false">IF(AND(ISNUMBER(SKOR!P53),SKOR!P53=0),SKOR!P$5,"")</f>
        <v/>
      </c>
      <c r="X90" s="70" t="str">
        <f aca="false">IF(AND(ISNUMBER(SKOR!Q53),SKOR!Q53=0),SKOR!Q$5,"")</f>
        <v/>
      </c>
      <c r="Y90" s="70" t="str">
        <f aca="false">IF(AND(ISNUMBER(SKOR!R53),SKOR!R53=0),SKOR!R$5,"")</f>
        <v/>
      </c>
      <c r="Z90" s="70" t="str">
        <f aca="false">IF(AND(ISNUMBER(SKOR!S53),SKOR!S53=0),SKOR!S$5,"")</f>
        <v/>
      </c>
      <c r="AA90" s="70" t="str">
        <f aca="false">IF(AND(ISNUMBER(SKOR!T53),SKOR!T53=0),SKOR!T$5,"")</f>
        <v/>
      </c>
      <c r="AB90" s="70" t="str">
        <f aca="false">IF(AND(ISNUMBER(SKOR!U53),SKOR!U53=0),SKOR!U$5,"")</f>
        <v/>
      </c>
      <c r="AC90" s="70" t="str">
        <f aca="false">IF(AND(ISNUMBER(SKOR!V53),SKOR!V53=0),SKOR!V$5,"")</f>
        <v/>
      </c>
      <c r="AD90" s="70" t="str">
        <f aca="false">IF(AND(ISNUMBER(SKOR!W53),SKOR!W53=0),SKOR!W$5,"")</f>
        <v/>
      </c>
      <c r="AE90" s="70" t="str">
        <f aca="false">IF(AND(ISNUMBER(SKOR!X53),SKOR!X53=0),SKOR!X$5,"")</f>
        <v/>
      </c>
      <c r="AF90" s="70" t="str">
        <f aca="false">IF(AND(ISNUMBER(SKOR!Y53),SKOR!Y53=0),SKOR!Y$5,"")</f>
        <v/>
      </c>
      <c r="AG90" s="70" t="str">
        <f aca="false">IF(AND(ISNUMBER(SKOR!Z53),SKOR!Z53=0),SKOR!Z$5,"")</f>
        <v/>
      </c>
      <c r="AH90" s="70" t="str">
        <f aca="false">IF(AND(ISNUMBER(SKOR!AA53),SKOR!AA53=0),SKOR!AA$5,"")</f>
        <v/>
      </c>
      <c r="AI90" s="70" t="str">
        <f aca="false">IF(AND(ISNUMBER(SKOR!AB53),SKOR!AB53=0),SKOR!AB$5,"")</f>
        <v/>
      </c>
      <c r="AJ90" s="70" t="str">
        <f aca="false">IF(AND(ISNUMBER(SKOR!AC53),SKOR!AC53=0),SKOR!AC$5,"")</f>
        <v/>
      </c>
      <c r="AK90" s="70" t="str">
        <f aca="false">IF(AND(ISNUMBER(SKOR!AD53),SKOR!AD53=0),SKOR!AD$5,"")</f>
        <v/>
      </c>
      <c r="AL90" s="70" t="str">
        <f aca="false">IF(AND(ISNUMBER(SKOR!AE53),SKOR!AE53=0),SKOR!AE$5,"")</f>
        <v/>
      </c>
      <c r="AM90" s="70" t="str">
        <f aca="false">IF(AND(ISNUMBER(SKOR!AF53),SKOR!AF53=0),SKOR!AF$5,"")</f>
        <v/>
      </c>
      <c r="AN90" s="70" t="str">
        <f aca="false">IF(AND(ISNUMBER(SKOR!AG53),SKOR!AG53=0),SKOR!AG$5,"")</f>
        <v/>
      </c>
      <c r="AO90" s="70" t="str">
        <f aca="false">IF(AND(ISNUMBER(SKOR!AH53),SKOR!AH53=0),SKOR!AH$5,"")</f>
        <v/>
      </c>
      <c r="AP90" s="70" t="str">
        <f aca="false">IF(AND(ISNUMBER(SKOR!AI53),SKOR!AI53=0),SKOR!AI$5,"")</f>
        <v/>
      </c>
      <c r="AQ90" s="70" t="str">
        <f aca="false">IF(AND(ISNUMBER(SKOR!AJ53),SKOR!AJ53=0),SKOR!AJ$5,"")</f>
        <v/>
      </c>
      <c r="AR90" s="70" t="str">
        <f aca="false">IF(AND(ISNUMBER(SKOR!AK53),SKOR!AK53=0),SKOR!AK$5,"")</f>
        <v/>
      </c>
      <c r="AS90" s="70" t="str">
        <f aca="false">IF(AND(ISNUMBER(SKOR!AL53),SKOR!AL53=0),SKOR!AL$5,"")</f>
        <v/>
      </c>
      <c r="AT90" s="70" t="str">
        <f aca="false">IF(AND(ISNUMBER(SKOR!AM53),SKOR!AM53=0),SKOR!AM$5,"")</f>
        <v/>
      </c>
      <c r="AU90" s="70" t="str">
        <f aca="false">IF(AND(ISNUMBER(SKOR!AN53),SKOR!AN53=0),SKOR!AN$5,"")</f>
        <v/>
      </c>
      <c r="AV90" s="70" t="str">
        <f aca="false">IF(AND(ISNUMBER(SKOR!AO53),SKOR!AO53=0),SKOR!AO$5,"")</f>
        <v/>
      </c>
      <c r="AW90" s="70" t="str">
        <f aca="false">IF(AND(ISNUMBER(SKOR!AP53),SKOR!AP53=0),SKOR!AP$5,"")</f>
        <v/>
      </c>
      <c r="AX90" s="70" t="str">
        <f aca="false">IF(AND(ISNUMBER(SKOR!AQ53),SKOR!AQ53=0),SKOR!AQ$5,"")</f>
        <v/>
      </c>
      <c r="AY90" s="70" t="str">
        <f aca="false">IF(AND(ISNUMBER(SKOR!AR53),SKOR!AR53=0),SKOR!AR$5,"")</f>
        <v/>
      </c>
    </row>
    <row r="91" customFormat="false" ht="14.25" hidden="false" customHeight="false" outlineLevel="0" collapsed="false">
      <c r="A91" s="65" t="str">
        <f aca="false">NILAI!A54</f>
        <v/>
      </c>
      <c r="B91" s="66" t="str">
        <f aca="false">NILAI!B54</f>
        <v/>
      </c>
      <c r="C91" s="65" t="str">
        <f aca="false">NILAI!C54</f>
        <v/>
      </c>
      <c r="D91" s="56" t="str">
        <f aca="false">NILAI!F54</f>
        <v/>
      </c>
      <c r="E91" s="67" t="str">
        <f aca="false">IF(D91="","",D91-NILAI_KKM)</f>
        <v/>
      </c>
      <c r="F91" s="68" t="str">
        <f aca="false">IF(D91="","",IF(D91&lt;NILAI_KKM,"Remedial","Pengayaan"))</f>
        <v/>
      </c>
      <c r="G91" s="66" t="str">
        <f aca="false">IF(F91="","",IF(F91="Remedial",IF(D91&lt;BATAS_INTENSIF,"Remedial intensif: pembelajaran ulang + tes ulang","Remedial terbimbing: bahas butir salah + tes ulang"),IF(NILAI!I54="Atas","Pengayaan lanjut: tutor sebaya + soal HOTS","Pengayaan dasar: pendalaman + proyek")))</f>
        <v/>
      </c>
      <c r="H91" s="66" t="str">
        <f aca="false">IF(F91="","",IF(F91="Pengayaan","-",IF(_xlfn.TEXTJOIN(", ",TRUE(),$L91:$AY91)="","-",_xlfn.TEXTJOIN(", ",TRUE(),$L91:$AY91))))</f>
        <v/>
      </c>
      <c r="I91" s="69"/>
      <c r="J91" s="65" t="str">
        <f aca="false">IF(OR(F91&lt;&gt;"Remedial",I91=""),"",IF(I91&gt;=NILAI_KKM,"Tuntas","Belum tuntas"))</f>
        <v/>
      </c>
      <c r="L91" s="70" t="str">
        <f aca="false">IF(AND(ISNUMBER(SKOR!E54),SKOR!E54=0),SKOR!E$5,"")</f>
        <v/>
      </c>
      <c r="M91" s="70" t="str">
        <f aca="false">IF(AND(ISNUMBER(SKOR!F54),SKOR!F54=0),SKOR!F$5,"")</f>
        <v/>
      </c>
      <c r="N91" s="70" t="str">
        <f aca="false">IF(AND(ISNUMBER(SKOR!G54),SKOR!G54=0),SKOR!G$5,"")</f>
        <v/>
      </c>
      <c r="O91" s="70" t="str">
        <f aca="false">IF(AND(ISNUMBER(SKOR!H54),SKOR!H54=0),SKOR!H$5,"")</f>
        <v/>
      </c>
      <c r="P91" s="70" t="str">
        <f aca="false">IF(AND(ISNUMBER(SKOR!I54),SKOR!I54=0),SKOR!I$5,"")</f>
        <v/>
      </c>
      <c r="Q91" s="70" t="str">
        <f aca="false">IF(AND(ISNUMBER(SKOR!J54),SKOR!J54=0),SKOR!J$5,"")</f>
        <v/>
      </c>
      <c r="R91" s="70" t="str">
        <f aca="false">IF(AND(ISNUMBER(SKOR!K54),SKOR!K54=0),SKOR!K$5,"")</f>
        <v/>
      </c>
      <c r="S91" s="70" t="str">
        <f aca="false">IF(AND(ISNUMBER(SKOR!L54),SKOR!L54=0),SKOR!L$5,"")</f>
        <v/>
      </c>
      <c r="T91" s="70" t="str">
        <f aca="false">IF(AND(ISNUMBER(SKOR!M54),SKOR!M54=0),SKOR!M$5,"")</f>
        <v/>
      </c>
      <c r="U91" s="70" t="str">
        <f aca="false">IF(AND(ISNUMBER(SKOR!N54),SKOR!N54=0),SKOR!N$5,"")</f>
        <v/>
      </c>
      <c r="V91" s="70" t="str">
        <f aca="false">IF(AND(ISNUMBER(SKOR!O54),SKOR!O54=0),SKOR!O$5,"")</f>
        <v/>
      </c>
      <c r="W91" s="70" t="str">
        <f aca="false">IF(AND(ISNUMBER(SKOR!P54),SKOR!P54=0),SKOR!P$5,"")</f>
        <v/>
      </c>
      <c r="X91" s="70" t="str">
        <f aca="false">IF(AND(ISNUMBER(SKOR!Q54),SKOR!Q54=0),SKOR!Q$5,"")</f>
        <v/>
      </c>
      <c r="Y91" s="70" t="str">
        <f aca="false">IF(AND(ISNUMBER(SKOR!R54),SKOR!R54=0),SKOR!R$5,"")</f>
        <v/>
      </c>
      <c r="Z91" s="70" t="str">
        <f aca="false">IF(AND(ISNUMBER(SKOR!S54),SKOR!S54=0),SKOR!S$5,"")</f>
        <v/>
      </c>
      <c r="AA91" s="70" t="str">
        <f aca="false">IF(AND(ISNUMBER(SKOR!T54),SKOR!T54=0),SKOR!T$5,"")</f>
        <v/>
      </c>
      <c r="AB91" s="70" t="str">
        <f aca="false">IF(AND(ISNUMBER(SKOR!U54),SKOR!U54=0),SKOR!U$5,"")</f>
        <v/>
      </c>
      <c r="AC91" s="70" t="str">
        <f aca="false">IF(AND(ISNUMBER(SKOR!V54),SKOR!V54=0),SKOR!V$5,"")</f>
        <v/>
      </c>
      <c r="AD91" s="70" t="str">
        <f aca="false">IF(AND(ISNUMBER(SKOR!W54),SKOR!W54=0),SKOR!W$5,"")</f>
        <v/>
      </c>
      <c r="AE91" s="70" t="str">
        <f aca="false">IF(AND(ISNUMBER(SKOR!X54),SKOR!X54=0),SKOR!X$5,"")</f>
        <v/>
      </c>
      <c r="AF91" s="70" t="str">
        <f aca="false">IF(AND(ISNUMBER(SKOR!Y54),SKOR!Y54=0),SKOR!Y$5,"")</f>
        <v/>
      </c>
      <c r="AG91" s="70" t="str">
        <f aca="false">IF(AND(ISNUMBER(SKOR!Z54),SKOR!Z54=0),SKOR!Z$5,"")</f>
        <v/>
      </c>
      <c r="AH91" s="70" t="str">
        <f aca="false">IF(AND(ISNUMBER(SKOR!AA54),SKOR!AA54=0),SKOR!AA$5,"")</f>
        <v/>
      </c>
      <c r="AI91" s="70" t="str">
        <f aca="false">IF(AND(ISNUMBER(SKOR!AB54),SKOR!AB54=0),SKOR!AB$5,"")</f>
        <v/>
      </c>
      <c r="AJ91" s="70" t="str">
        <f aca="false">IF(AND(ISNUMBER(SKOR!AC54),SKOR!AC54=0),SKOR!AC$5,"")</f>
        <v/>
      </c>
      <c r="AK91" s="70" t="str">
        <f aca="false">IF(AND(ISNUMBER(SKOR!AD54),SKOR!AD54=0),SKOR!AD$5,"")</f>
        <v/>
      </c>
      <c r="AL91" s="70" t="str">
        <f aca="false">IF(AND(ISNUMBER(SKOR!AE54),SKOR!AE54=0),SKOR!AE$5,"")</f>
        <v/>
      </c>
      <c r="AM91" s="70" t="str">
        <f aca="false">IF(AND(ISNUMBER(SKOR!AF54),SKOR!AF54=0),SKOR!AF$5,"")</f>
        <v/>
      </c>
      <c r="AN91" s="70" t="str">
        <f aca="false">IF(AND(ISNUMBER(SKOR!AG54),SKOR!AG54=0),SKOR!AG$5,"")</f>
        <v/>
      </c>
      <c r="AO91" s="70" t="str">
        <f aca="false">IF(AND(ISNUMBER(SKOR!AH54),SKOR!AH54=0),SKOR!AH$5,"")</f>
        <v/>
      </c>
      <c r="AP91" s="70" t="str">
        <f aca="false">IF(AND(ISNUMBER(SKOR!AI54),SKOR!AI54=0),SKOR!AI$5,"")</f>
        <v/>
      </c>
      <c r="AQ91" s="70" t="str">
        <f aca="false">IF(AND(ISNUMBER(SKOR!AJ54),SKOR!AJ54=0),SKOR!AJ$5,"")</f>
        <v/>
      </c>
      <c r="AR91" s="70" t="str">
        <f aca="false">IF(AND(ISNUMBER(SKOR!AK54),SKOR!AK54=0),SKOR!AK$5,"")</f>
        <v/>
      </c>
      <c r="AS91" s="70" t="str">
        <f aca="false">IF(AND(ISNUMBER(SKOR!AL54),SKOR!AL54=0),SKOR!AL$5,"")</f>
        <v/>
      </c>
      <c r="AT91" s="70" t="str">
        <f aca="false">IF(AND(ISNUMBER(SKOR!AM54),SKOR!AM54=0),SKOR!AM$5,"")</f>
        <v/>
      </c>
      <c r="AU91" s="70" t="str">
        <f aca="false">IF(AND(ISNUMBER(SKOR!AN54),SKOR!AN54=0),SKOR!AN$5,"")</f>
        <v/>
      </c>
      <c r="AV91" s="70" t="str">
        <f aca="false">IF(AND(ISNUMBER(SKOR!AO54),SKOR!AO54=0),SKOR!AO$5,"")</f>
        <v/>
      </c>
      <c r="AW91" s="70" t="str">
        <f aca="false">IF(AND(ISNUMBER(SKOR!AP54),SKOR!AP54=0),SKOR!AP$5,"")</f>
        <v/>
      </c>
      <c r="AX91" s="70" t="str">
        <f aca="false">IF(AND(ISNUMBER(SKOR!AQ54),SKOR!AQ54=0),SKOR!AQ$5,"")</f>
        <v/>
      </c>
      <c r="AY91" s="70" t="str">
        <f aca="false">IF(AND(ISNUMBER(SKOR!AR54),SKOR!AR54=0),SKOR!AR$5,"")</f>
        <v/>
      </c>
    </row>
    <row r="92" customFormat="false" ht="14.25" hidden="false" customHeight="false" outlineLevel="0" collapsed="false">
      <c r="A92" s="65" t="str">
        <f aca="false">NILAI!A55</f>
        <v/>
      </c>
      <c r="B92" s="66" t="str">
        <f aca="false">NILAI!B55</f>
        <v/>
      </c>
      <c r="C92" s="65" t="str">
        <f aca="false">NILAI!C55</f>
        <v/>
      </c>
      <c r="D92" s="56" t="str">
        <f aca="false">NILAI!F55</f>
        <v/>
      </c>
      <c r="E92" s="67" t="str">
        <f aca="false">IF(D92="","",D92-NILAI_KKM)</f>
        <v/>
      </c>
      <c r="F92" s="68" t="str">
        <f aca="false">IF(D92="","",IF(D92&lt;NILAI_KKM,"Remedial","Pengayaan"))</f>
        <v/>
      </c>
      <c r="G92" s="66" t="str">
        <f aca="false">IF(F92="","",IF(F92="Remedial",IF(D92&lt;BATAS_INTENSIF,"Remedial intensif: pembelajaran ulang + tes ulang","Remedial terbimbing: bahas butir salah + tes ulang"),IF(NILAI!I55="Atas","Pengayaan lanjut: tutor sebaya + soal HOTS","Pengayaan dasar: pendalaman + proyek")))</f>
        <v/>
      </c>
      <c r="H92" s="66" t="str">
        <f aca="false">IF(F92="","",IF(F92="Pengayaan","-",IF(_xlfn.TEXTJOIN(", ",TRUE(),$L92:$AY92)="","-",_xlfn.TEXTJOIN(", ",TRUE(),$L92:$AY92))))</f>
        <v/>
      </c>
      <c r="I92" s="69"/>
      <c r="J92" s="65" t="str">
        <f aca="false">IF(OR(F92&lt;&gt;"Remedial",I92=""),"",IF(I92&gt;=NILAI_KKM,"Tuntas","Belum tuntas"))</f>
        <v/>
      </c>
      <c r="L92" s="70" t="str">
        <f aca="false">IF(AND(ISNUMBER(SKOR!E55),SKOR!E55=0),SKOR!E$5,"")</f>
        <v/>
      </c>
      <c r="M92" s="70" t="str">
        <f aca="false">IF(AND(ISNUMBER(SKOR!F55),SKOR!F55=0),SKOR!F$5,"")</f>
        <v/>
      </c>
      <c r="N92" s="70" t="str">
        <f aca="false">IF(AND(ISNUMBER(SKOR!G55),SKOR!G55=0),SKOR!G$5,"")</f>
        <v/>
      </c>
      <c r="O92" s="70" t="str">
        <f aca="false">IF(AND(ISNUMBER(SKOR!H55),SKOR!H55=0),SKOR!H$5,"")</f>
        <v/>
      </c>
      <c r="P92" s="70" t="str">
        <f aca="false">IF(AND(ISNUMBER(SKOR!I55),SKOR!I55=0),SKOR!I$5,"")</f>
        <v/>
      </c>
      <c r="Q92" s="70" t="str">
        <f aca="false">IF(AND(ISNUMBER(SKOR!J55),SKOR!J55=0),SKOR!J$5,"")</f>
        <v/>
      </c>
      <c r="R92" s="70" t="str">
        <f aca="false">IF(AND(ISNUMBER(SKOR!K55),SKOR!K55=0),SKOR!K$5,"")</f>
        <v/>
      </c>
      <c r="S92" s="70" t="str">
        <f aca="false">IF(AND(ISNUMBER(SKOR!L55),SKOR!L55=0),SKOR!L$5,"")</f>
        <v/>
      </c>
      <c r="T92" s="70" t="str">
        <f aca="false">IF(AND(ISNUMBER(SKOR!M55),SKOR!M55=0),SKOR!M$5,"")</f>
        <v/>
      </c>
      <c r="U92" s="70" t="str">
        <f aca="false">IF(AND(ISNUMBER(SKOR!N55),SKOR!N55=0),SKOR!N$5,"")</f>
        <v/>
      </c>
      <c r="V92" s="70" t="str">
        <f aca="false">IF(AND(ISNUMBER(SKOR!O55),SKOR!O55=0),SKOR!O$5,"")</f>
        <v/>
      </c>
      <c r="W92" s="70" t="str">
        <f aca="false">IF(AND(ISNUMBER(SKOR!P55),SKOR!P55=0),SKOR!P$5,"")</f>
        <v/>
      </c>
      <c r="X92" s="70" t="str">
        <f aca="false">IF(AND(ISNUMBER(SKOR!Q55),SKOR!Q55=0),SKOR!Q$5,"")</f>
        <v/>
      </c>
      <c r="Y92" s="70" t="str">
        <f aca="false">IF(AND(ISNUMBER(SKOR!R55),SKOR!R55=0),SKOR!R$5,"")</f>
        <v/>
      </c>
      <c r="Z92" s="70" t="str">
        <f aca="false">IF(AND(ISNUMBER(SKOR!S55),SKOR!S55=0),SKOR!S$5,"")</f>
        <v/>
      </c>
      <c r="AA92" s="70" t="str">
        <f aca="false">IF(AND(ISNUMBER(SKOR!T55),SKOR!T55=0),SKOR!T$5,"")</f>
        <v/>
      </c>
      <c r="AB92" s="70" t="str">
        <f aca="false">IF(AND(ISNUMBER(SKOR!U55),SKOR!U55=0),SKOR!U$5,"")</f>
        <v/>
      </c>
      <c r="AC92" s="70" t="str">
        <f aca="false">IF(AND(ISNUMBER(SKOR!V55),SKOR!V55=0),SKOR!V$5,"")</f>
        <v/>
      </c>
      <c r="AD92" s="70" t="str">
        <f aca="false">IF(AND(ISNUMBER(SKOR!W55),SKOR!W55=0),SKOR!W$5,"")</f>
        <v/>
      </c>
      <c r="AE92" s="70" t="str">
        <f aca="false">IF(AND(ISNUMBER(SKOR!X55),SKOR!X55=0),SKOR!X$5,"")</f>
        <v/>
      </c>
      <c r="AF92" s="70" t="str">
        <f aca="false">IF(AND(ISNUMBER(SKOR!Y55),SKOR!Y55=0),SKOR!Y$5,"")</f>
        <v/>
      </c>
      <c r="AG92" s="70" t="str">
        <f aca="false">IF(AND(ISNUMBER(SKOR!Z55),SKOR!Z55=0),SKOR!Z$5,"")</f>
        <v/>
      </c>
      <c r="AH92" s="70" t="str">
        <f aca="false">IF(AND(ISNUMBER(SKOR!AA55),SKOR!AA55=0),SKOR!AA$5,"")</f>
        <v/>
      </c>
      <c r="AI92" s="70" t="str">
        <f aca="false">IF(AND(ISNUMBER(SKOR!AB55),SKOR!AB55=0),SKOR!AB$5,"")</f>
        <v/>
      </c>
      <c r="AJ92" s="70" t="str">
        <f aca="false">IF(AND(ISNUMBER(SKOR!AC55),SKOR!AC55=0),SKOR!AC$5,"")</f>
        <v/>
      </c>
      <c r="AK92" s="70" t="str">
        <f aca="false">IF(AND(ISNUMBER(SKOR!AD55),SKOR!AD55=0),SKOR!AD$5,"")</f>
        <v/>
      </c>
      <c r="AL92" s="70" t="str">
        <f aca="false">IF(AND(ISNUMBER(SKOR!AE55),SKOR!AE55=0),SKOR!AE$5,"")</f>
        <v/>
      </c>
      <c r="AM92" s="70" t="str">
        <f aca="false">IF(AND(ISNUMBER(SKOR!AF55),SKOR!AF55=0),SKOR!AF$5,"")</f>
        <v/>
      </c>
      <c r="AN92" s="70" t="str">
        <f aca="false">IF(AND(ISNUMBER(SKOR!AG55),SKOR!AG55=0),SKOR!AG$5,"")</f>
        <v/>
      </c>
      <c r="AO92" s="70" t="str">
        <f aca="false">IF(AND(ISNUMBER(SKOR!AH55),SKOR!AH55=0),SKOR!AH$5,"")</f>
        <v/>
      </c>
      <c r="AP92" s="70" t="str">
        <f aca="false">IF(AND(ISNUMBER(SKOR!AI55),SKOR!AI55=0),SKOR!AI$5,"")</f>
        <v/>
      </c>
      <c r="AQ92" s="70" t="str">
        <f aca="false">IF(AND(ISNUMBER(SKOR!AJ55),SKOR!AJ55=0),SKOR!AJ$5,"")</f>
        <v/>
      </c>
      <c r="AR92" s="70" t="str">
        <f aca="false">IF(AND(ISNUMBER(SKOR!AK55),SKOR!AK55=0),SKOR!AK$5,"")</f>
        <v/>
      </c>
      <c r="AS92" s="70" t="str">
        <f aca="false">IF(AND(ISNUMBER(SKOR!AL55),SKOR!AL55=0),SKOR!AL$5,"")</f>
        <v/>
      </c>
      <c r="AT92" s="70" t="str">
        <f aca="false">IF(AND(ISNUMBER(SKOR!AM55),SKOR!AM55=0),SKOR!AM$5,"")</f>
        <v/>
      </c>
      <c r="AU92" s="70" t="str">
        <f aca="false">IF(AND(ISNUMBER(SKOR!AN55),SKOR!AN55=0),SKOR!AN$5,"")</f>
        <v/>
      </c>
      <c r="AV92" s="70" t="str">
        <f aca="false">IF(AND(ISNUMBER(SKOR!AO55),SKOR!AO55=0),SKOR!AO$5,"")</f>
        <v/>
      </c>
      <c r="AW92" s="70" t="str">
        <f aca="false">IF(AND(ISNUMBER(SKOR!AP55),SKOR!AP55=0),SKOR!AP$5,"")</f>
        <v/>
      </c>
      <c r="AX92" s="70" t="str">
        <f aca="false">IF(AND(ISNUMBER(SKOR!AQ55),SKOR!AQ55=0),SKOR!AQ$5,"")</f>
        <v/>
      </c>
      <c r="AY92" s="70" t="str">
        <f aca="false">IF(AND(ISNUMBER(SKOR!AR55),SKOR!AR55=0),SKOR!AR$5,"")</f>
        <v/>
      </c>
    </row>
    <row r="94" customFormat="false" ht="14.25" hidden="false" customHeight="false" outlineLevel="0" collapsed="false">
      <c r="A94" s="52" t="s">
        <v>335</v>
      </c>
      <c r="B94" s="52"/>
      <c r="C94" s="52"/>
      <c r="D94" s="52"/>
      <c r="E94" s="52"/>
      <c r="F94" s="52"/>
      <c r="G94" s="52"/>
      <c r="H94" s="52"/>
      <c r="I94" s="52"/>
      <c r="J94" s="52"/>
    </row>
    <row r="95" customFormat="false" ht="42" hidden="false" customHeight="true" outlineLevel="0" collapsed="false">
      <c r="A95" s="63" t="s">
        <v>336</v>
      </c>
      <c r="B95" s="63" t="s">
        <v>201</v>
      </c>
      <c r="C95" s="63" t="s">
        <v>173</v>
      </c>
      <c r="D95" s="63" t="s">
        <v>337</v>
      </c>
      <c r="E95" s="63" t="s">
        <v>338</v>
      </c>
      <c r="F95" s="63" t="s">
        <v>339</v>
      </c>
      <c r="G95" s="63" t="s">
        <v>340</v>
      </c>
      <c r="H95" s="63" t="s">
        <v>341</v>
      </c>
      <c r="I95" s="63" t="s">
        <v>342</v>
      </c>
      <c r="J95" s="63" t="s">
        <v>343</v>
      </c>
      <c r="L95" s="64" t="s">
        <v>344</v>
      </c>
      <c r="M95" s="64" t="s">
        <v>345</v>
      </c>
      <c r="N95" s="64" t="s">
        <v>346</v>
      </c>
    </row>
    <row r="96" customFormat="false" ht="14.25" hidden="false" customHeight="false" outlineLevel="0" collapsed="false">
      <c r="A96" s="65" t="n">
        <f aca="false">IF(ANALISIS!B6="","",ANALISIS!A6)</f>
        <v>1</v>
      </c>
      <c r="B96" s="66" t="str">
        <f aca="false">IF(A96="","",IF(ANALISIS!S6="","(belum diisi)",ANALISIS!S6))</f>
        <v>(belum diisi)</v>
      </c>
      <c r="C96" s="65" t="str">
        <f aca="false">IF(A96="","",ANALISIS!B6)</f>
        <v>A</v>
      </c>
      <c r="D96" s="56" t="n">
        <f aca="false">IF(A96="","",ANALISIS!E6)</f>
        <v>0.548387096774194</v>
      </c>
      <c r="E96" s="55" t="n">
        <f aca="false">IF(OR(A96="",N_REMEDIAL=0),"",SUMIFS(SKOR!E$6:E$55,$F$43:$F$92,"Remedial")/N_REMEDIAL)</f>
        <v>0.56</v>
      </c>
      <c r="F96" s="55" t="n">
        <f aca="false">IF(OR(A96="",N_PENGAYAAN=0),"",SUMIFS(SKOR!E$6:E$55,$F$43:$F$92,"Pengayaan")/N_PENGAYAAN)</f>
        <v>0.5</v>
      </c>
      <c r="G96" s="66" t="str">
        <f aca="false">IF(A96="","",IF(J96="Ya","Bahas ulang pada kegiatan remedial",IF(J96="Tinjau soal","Soal bermasalah: periksa kunci/redaksi dulu","Tidak perlu bahasan khusus")))</f>
        <v>Soal bermasalah: periksa kunci/redaksi dulu</v>
      </c>
      <c r="H96" s="71" t="str">
        <f aca="false">IF(A96="","",ANALISIS!Q6)</f>
        <v>Diganti/Dibuang</v>
      </c>
      <c r="I96" s="54" t="n">
        <f aca="false">IF(OR(A96="",N_REMEDIAL=0),"",COUNTIFS($F$43:$F$92,"Remedial",SKOR!E$6:E$55,0))</f>
        <v>11</v>
      </c>
      <c r="J96" s="68" t="str">
        <f aca="false">IF(A96="","",IF(N_REMEDIAL=0,"-",IF(E96&gt;=BATAS_BAHAS_ULANG,"-",IF(H96="Diganti/Dibuang","Tinjau soal","Ya"))))</f>
        <v>Tinjau soal</v>
      </c>
      <c r="L96" s="70" t="str">
        <f aca="false">IF(J96="Ya",A96,"")</f>
        <v/>
      </c>
      <c r="M96" s="72" t="str">
        <f aca="false">IF(AND(J96="Ya",B96&lt;&gt;"(belum diisi)"),B96,"")</f>
        <v/>
      </c>
      <c r="N96" s="70" t="n">
        <f aca="false">IF(J96="Tinjau soal",A96,"")</f>
        <v>1</v>
      </c>
    </row>
    <row r="97" customFormat="false" ht="14.25" hidden="false" customHeight="false" outlineLevel="0" collapsed="false">
      <c r="A97" s="65" t="n">
        <f aca="false">IF(ANALISIS!B7="","",ANALISIS!A7)</f>
        <v>2</v>
      </c>
      <c r="B97" s="66" t="str">
        <f aca="false">IF(A97="","",IF(ANALISIS!S7="","(belum diisi)",ANALISIS!S7))</f>
        <v>(belum diisi)</v>
      </c>
      <c r="C97" s="65" t="str">
        <f aca="false">IF(A97="","",ANALISIS!B7)</f>
        <v>D</v>
      </c>
      <c r="D97" s="56" t="n">
        <f aca="false">IF(A97="","",ANALISIS!E7)</f>
        <v>0.67741935483871</v>
      </c>
      <c r="E97" s="55" t="n">
        <f aca="false">IF(OR(A97="",N_REMEDIAL=0),"",SUMIFS(SKOR!F$6:F$55,$F$43:$F$92,"Remedial")/N_REMEDIAL)</f>
        <v>0.6</v>
      </c>
      <c r="F97" s="55" t="n">
        <f aca="false">IF(OR(A97="",N_PENGAYAAN=0),"",SUMIFS(SKOR!F$6:F$55,$F$43:$F$92,"Pengayaan")/N_PENGAYAAN)</f>
        <v>1</v>
      </c>
      <c r="G97" s="66" t="str">
        <f aca="false">IF(A97="","",IF(J97="Ya","Bahas ulang pada kegiatan remedial",IF(J97="Tinjau soal","Soal bermasalah: periksa kunci/redaksi dulu","Tidak perlu bahasan khusus")))</f>
        <v>Tidak perlu bahasan khusus</v>
      </c>
      <c r="H97" s="71" t="str">
        <f aca="false">IF(A97="","",ANALISIS!Q7)</f>
        <v>Direvisi</v>
      </c>
      <c r="I97" s="54" t="n">
        <f aca="false">IF(OR(A97="",N_REMEDIAL=0),"",COUNTIFS($F$43:$F$92,"Remedial",SKOR!F$6:F$55,0))</f>
        <v>10</v>
      </c>
      <c r="J97" s="68" t="str">
        <f aca="false">IF(A97="","",IF(N_REMEDIAL=0,"-",IF(E97&gt;=BATAS_BAHAS_ULANG,"-",IF(H97="Diganti/Dibuang","Tinjau soal","Ya"))))</f>
        <v>-</v>
      </c>
      <c r="L97" s="70" t="str">
        <f aca="false">IF(J97="Ya",A97,"")</f>
        <v/>
      </c>
      <c r="M97" s="72" t="str">
        <f aca="false">IF(AND(J97="Ya",B97&lt;&gt;"(belum diisi)"),B97,"")</f>
        <v/>
      </c>
      <c r="N97" s="70" t="str">
        <f aca="false">IF(J97="Tinjau soal",A97,"")</f>
        <v/>
      </c>
    </row>
    <row r="98" customFormat="false" ht="14.25" hidden="false" customHeight="false" outlineLevel="0" collapsed="false">
      <c r="A98" s="65" t="n">
        <f aca="false">IF(ANALISIS!B8="","",ANALISIS!A8)</f>
        <v>3</v>
      </c>
      <c r="B98" s="66" t="str">
        <f aca="false">IF(A98="","",IF(ANALISIS!S8="","(belum diisi)",ANALISIS!S8))</f>
        <v>(belum diisi)</v>
      </c>
      <c r="C98" s="65" t="str">
        <f aca="false">IF(A98="","",ANALISIS!B8)</f>
        <v>B</v>
      </c>
      <c r="D98" s="56" t="n">
        <f aca="false">IF(A98="","",ANALISIS!E8)</f>
        <v>0.580645161290323</v>
      </c>
      <c r="E98" s="55" t="n">
        <f aca="false">IF(OR(A98="",N_REMEDIAL=0),"",SUMIFS(SKOR!G$6:G$55,$F$43:$F$92,"Remedial")/N_REMEDIAL)</f>
        <v>0.56</v>
      </c>
      <c r="F98" s="55" t="n">
        <f aca="false">IF(OR(A98="",N_PENGAYAAN=0),"",SUMIFS(SKOR!G$6:G$55,$F$43:$F$92,"Pengayaan")/N_PENGAYAAN)</f>
        <v>0.666666666666667</v>
      </c>
      <c r="G98" s="66" t="str">
        <f aca="false">IF(A98="","",IF(J98="Ya","Bahas ulang pada kegiatan remedial",IF(J98="Tinjau soal","Soal bermasalah: periksa kunci/redaksi dulu","Tidak perlu bahasan khusus")))</f>
        <v>Soal bermasalah: periksa kunci/redaksi dulu</v>
      </c>
      <c r="H98" s="71" t="str">
        <f aca="false">IF(A98="","",ANALISIS!Q8)</f>
        <v>Diganti/Dibuang</v>
      </c>
      <c r="I98" s="54" t="n">
        <f aca="false">IF(OR(A98="",N_REMEDIAL=0),"",COUNTIFS($F$43:$F$92,"Remedial",SKOR!G$6:G$55,0))</f>
        <v>11</v>
      </c>
      <c r="J98" s="68" t="str">
        <f aca="false">IF(A98="","",IF(N_REMEDIAL=0,"-",IF(E98&gt;=BATAS_BAHAS_ULANG,"-",IF(H98="Diganti/Dibuang","Tinjau soal","Ya"))))</f>
        <v>Tinjau soal</v>
      </c>
      <c r="L98" s="70" t="str">
        <f aca="false">IF(J98="Ya",A98,"")</f>
        <v/>
      </c>
      <c r="M98" s="72" t="str">
        <f aca="false">IF(AND(J98="Ya",B98&lt;&gt;"(belum diisi)"),B98,"")</f>
        <v/>
      </c>
      <c r="N98" s="70" t="n">
        <f aca="false">IF(J98="Tinjau soal",A98,"")</f>
        <v>3</v>
      </c>
    </row>
    <row r="99" customFormat="false" ht="14.25" hidden="false" customHeight="false" outlineLevel="0" collapsed="false">
      <c r="A99" s="65" t="n">
        <f aca="false">IF(ANALISIS!B9="","",ANALISIS!A9)</f>
        <v>4</v>
      </c>
      <c r="B99" s="66" t="str">
        <f aca="false">IF(A99="","",IF(ANALISIS!S9="","(belum diisi)",ANALISIS!S9))</f>
        <v>(belum diisi)</v>
      </c>
      <c r="C99" s="65" t="str">
        <f aca="false">IF(A99="","",ANALISIS!B9)</f>
        <v>A</v>
      </c>
      <c r="D99" s="56" t="n">
        <f aca="false">IF(A99="","",ANALISIS!E9)</f>
        <v>0.709677419354839</v>
      </c>
      <c r="E99" s="55" t="n">
        <f aca="false">IF(OR(A99="",N_REMEDIAL=0),"",SUMIFS(SKOR!H$6:H$55,$F$43:$F$92,"Remedial")/N_REMEDIAL)</f>
        <v>0.68</v>
      </c>
      <c r="F99" s="55" t="n">
        <f aca="false">IF(OR(A99="",N_PENGAYAAN=0),"",SUMIFS(SKOR!H$6:H$55,$F$43:$F$92,"Pengayaan")/N_PENGAYAAN)</f>
        <v>0.833333333333333</v>
      </c>
      <c r="G99" s="66" t="str">
        <f aca="false">IF(A99="","",IF(J99="Ya","Bahas ulang pada kegiatan remedial",IF(J99="Tinjau soal","Soal bermasalah: periksa kunci/redaksi dulu","Tidak perlu bahasan khusus")))</f>
        <v>Tidak perlu bahasan khusus</v>
      </c>
      <c r="H99" s="71" t="str">
        <f aca="false">IF(A99="","",ANALISIS!Q9)</f>
        <v>Diganti/Dibuang</v>
      </c>
      <c r="I99" s="54" t="n">
        <f aca="false">IF(OR(A99="",N_REMEDIAL=0),"",COUNTIFS($F$43:$F$92,"Remedial",SKOR!H$6:H$55,0))</f>
        <v>8</v>
      </c>
      <c r="J99" s="68" t="str">
        <f aca="false">IF(A99="","",IF(N_REMEDIAL=0,"-",IF(E99&gt;=BATAS_BAHAS_ULANG,"-",IF(H99="Diganti/Dibuang","Tinjau soal","Ya"))))</f>
        <v>-</v>
      </c>
      <c r="L99" s="70" t="str">
        <f aca="false">IF(J99="Ya",A99,"")</f>
        <v/>
      </c>
      <c r="M99" s="72" t="str">
        <f aca="false">IF(AND(J99="Ya",B99&lt;&gt;"(belum diisi)"),B99,"")</f>
        <v/>
      </c>
      <c r="N99" s="70" t="str">
        <f aca="false">IF(J99="Tinjau soal",A99,"")</f>
        <v/>
      </c>
    </row>
    <row r="100" customFormat="false" ht="14.25" hidden="false" customHeight="false" outlineLevel="0" collapsed="false">
      <c r="A100" s="65" t="n">
        <f aca="false">IF(ANALISIS!B10="","",ANALISIS!A10)</f>
        <v>5</v>
      </c>
      <c r="B100" s="66" t="str">
        <f aca="false">IF(A100="","",IF(ANALISIS!S10="","(belum diisi)",ANALISIS!S10))</f>
        <v>(belum diisi)</v>
      </c>
      <c r="C100" s="65" t="str">
        <f aca="false">IF(A100="","",ANALISIS!B10)</f>
        <v>C</v>
      </c>
      <c r="D100" s="56" t="n">
        <f aca="false">IF(A100="","",ANALISIS!E10)</f>
        <v>0.548387096774194</v>
      </c>
      <c r="E100" s="55" t="n">
        <f aca="false">IF(OR(A100="",N_REMEDIAL=0),"",SUMIFS(SKOR!I$6:I$55,$F$43:$F$92,"Remedial")/N_REMEDIAL)</f>
        <v>0.44</v>
      </c>
      <c r="F100" s="55" t="n">
        <f aca="false">IF(OR(A100="",N_PENGAYAAN=0),"",SUMIFS(SKOR!I$6:I$55,$F$43:$F$92,"Pengayaan")/N_PENGAYAAN)</f>
        <v>1</v>
      </c>
      <c r="G100" s="66" t="str">
        <f aca="false">IF(A100="","",IF(J100="Ya","Bahas ulang pada kegiatan remedial",IF(J100="Tinjau soal","Soal bermasalah: periksa kunci/redaksi dulu","Tidak perlu bahasan khusus")))</f>
        <v>Bahas ulang pada kegiatan remedial</v>
      </c>
      <c r="H100" s="71" t="str">
        <f aca="false">IF(A100="","",ANALISIS!Q10)</f>
        <v>Direvisi</v>
      </c>
      <c r="I100" s="54" t="n">
        <f aca="false">IF(OR(A100="",N_REMEDIAL=0),"",COUNTIFS($F$43:$F$92,"Remedial",SKOR!I$6:I$55,0))</f>
        <v>14</v>
      </c>
      <c r="J100" s="68" t="str">
        <f aca="false">IF(A100="","",IF(N_REMEDIAL=0,"-",IF(E100&gt;=BATAS_BAHAS_ULANG,"-",IF(H100="Diganti/Dibuang","Tinjau soal","Ya"))))</f>
        <v>Ya</v>
      </c>
      <c r="L100" s="70" t="n">
        <f aca="false">IF(J100="Ya",A100,"")</f>
        <v>5</v>
      </c>
      <c r="M100" s="72" t="str">
        <f aca="false">IF(AND(J100="Ya",B100&lt;&gt;"(belum diisi)"),B100,"")</f>
        <v/>
      </c>
      <c r="N100" s="70" t="str">
        <f aca="false">IF(J100="Tinjau soal",A100,"")</f>
        <v/>
      </c>
    </row>
    <row r="101" customFormat="false" ht="14.25" hidden="false" customHeight="false" outlineLevel="0" collapsed="false">
      <c r="A101" s="65" t="n">
        <f aca="false">IF(ANALISIS!B11="","",ANALISIS!A11)</f>
        <v>6</v>
      </c>
      <c r="B101" s="66" t="str">
        <f aca="false">IF(A101="","",IF(ANALISIS!S11="","(belum diisi)",ANALISIS!S11))</f>
        <v>(belum diisi)</v>
      </c>
      <c r="C101" s="65" t="str">
        <f aca="false">IF(A101="","",ANALISIS!B11)</f>
        <v>C</v>
      </c>
      <c r="D101" s="56" t="n">
        <f aca="false">IF(A101="","",ANALISIS!E11)</f>
        <v>0.516129032258065</v>
      </c>
      <c r="E101" s="55" t="n">
        <f aca="false">IF(OR(A101="",N_REMEDIAL=0),"",SUMIFS(SKOR!J$6:J$55,$F$43:$F$92,"Remedial")/N_REMEDIAL)</f>
        <v>0.48</v>
      </c>
      <c r="F101" s="55" t="n">
        <f aca="false">IF(OR(A101="",N_PENGAYAAN=0),"",SUMIFS(SKOR!J$6:J$55,$F$43:$F$92,"Pengayaan")/N_PENGAYAAN)</f>
        <v>0.666666666666667</v>
      </c>
      <c r="G101" s="66" t="str">
        <f aca="false">IF(A101="","",IF(J101="Ya","Bahas ulang pada kegiatan remedial",IF(J101="Tinjau soal","Soal bermasalah: periksa kunci/redaksi dulu","Tidak perlu bahasan khusus")))</f>
        <v>Bahas ulang pada kegiatan remedial</v>
      </c>
      <c r="H101" s="71" t="str">
        <f aca="false">IF(A101="","",ANALISIS!Q11)</f>
        <v>Diterima</v>
      </c>
      <c r="I101" s="54" t="n">
        <f aca="false">IF(OR(A101="",N_REMEDIAL=0),"",COUNTIFS($F$43:$F$92,"Remedial",SKOR!J$6:J$55,0))</f>
        <v>13</v>
      </c>
      <c r="J101" s="68" t="str">
        <f aca="false">IF(A101="","",IF(N_REMEDIAL=0,"-",IF(E101&gt;=BATAS_BAHAS_ULANG,"-",IF(H101="Diganti/Dibuang","Tinjau soal","Ya"))))</f>
        <v>Ya</v>
      </c>
      <c r="L101" s="70" t="n">
        <f aca="false">IF(J101="Ya",A101,"")</f>
        <v>6</v>
      </c>
      <c r="M101" s="72" t="str">
        <f aca="false">IF(AND(J101="Ya",B101&lt;&gt;"(belum diisi)"),B101,"")</f>
        <v/>
      </c>
      <c r="N101" s="70" t="str">
        <f aca="false">IF(J101="Tinjau soal",A101,"")</f>
        <v/>
      </c>
    </row>
    <row r="102" customFormat="false" ht="14.25" hidden="false" customHeight="false" outlineLevel="0" collapsed="false">
      <c r="A102" s="65" t="n">
        <f aca="false">IF(ANALISIS!B12="","",ANALISIS!A12)</f>
        <v>7</v>
      </c>
      <c r="B102" s="66" t="str">
        <f aca="false">IF(A102="","",IF(ANALISIS!S12="","(belum diisi)",ANALISIS!S12))</f>
        <v>(belum diisi)</v>
      </c>
      <c r="C102" s="65" t="str">
        <f aca="false">IF(A102="","",ANALISIS!B12)</f>
        <v>B</v>
      </c>
      <c r="D102" s="56" t="n">
        <f aca="false">IF(A102="","",ANALISIS!E12)</f>
        <v>0.580645161290323</v>
      </c>
      <c r="E102" s="55" t="n">
        <f aca="false">IF(OR(A102="",N_REMEDIAL=0),"",SUMIFS(SKOR!K$6:K$55,$F$43:$F$92,"Remedial")/N_REMEDIAL)</f>
        <v>0.52</v>
      </c>
      <c r="F102" s="55" t="n">
        <f aca="false">IF(OR(A102="",N_PENGAYAAN=0),"",SUMIFS(SKOR!K$6:K$55,$F$43:$F$92,"Pengayaan")/N_PENGAYAAN)</f>
        <v>0.833333333333333</v>
      </c>
      <c r="G102" s="66" t="str">
        <f aca="false">IF(A102="","",IF(J102="Ya","Bahas ulang pada kegiatan remedial",IF(J102="Tinjau soal","Soal bermasalah: periksa kunci/redaksi dulu","Tidak perlu bahasan khusus")))</f>
        <v>Bahas ulang pada kegiatan remedial</v>
      </c>
      <c r="H102" s="71" t="str">
        <f aca="false">IF(A102="","",ANALISIS!Q12)</f>
        <v>Diterima</v>
      </c>
      <c r="I102" s="54" t="n">
        <f aca="false">IF(OR(A102="",N_REMEDIAL=0),"",COUNTIFS($F$43:$F$92,"Remedial",SKOR!K$6:K$55,0))</f>
        <v>12</v>
      </c>
      <c r="J102" s="68" t="str">
        <f aca="false">IF(A102="","",IF(N_REMEDIAL=0,"-",IF(E102&gt;=BATAS_BAHAS_ULANG,"-",IF(H102="Diganti/Dibuang","Tinjau soal","Ya"))))</f>
        <v>Ya</v>
      </c>
      <c r="L102" s="70" t="n">
        <f aca="false">IF(J102="Ya",A102,"")</f>
        <v>7</v>
      </c>
      <c r="M102" s="72" t="str">
        <f aca="false">IF(AND(J102="Ya",B102&lt;&gt;"(belum diisi)"),B102,"")</f>
        <v/>
      </c>
      <c r="N102" s="70" t="str">
        <f aca="false">IF(J102="Tinjau soal",A102,"")</f>
        <v/>
      </c>
    </row>
    <row r="103" customFormat="false" ht="14.25" hidden="false" customHeight="false" outlineLevel="0" collapsed="false">
      <c r="A103" s="65" t="n">
        <f aca="false">IF(ANALISIS!B13="","",ANALISIS!A13)</f>
        <v>8</v>
      </c>
      <c r="B103" s="66" t="str">
        <f aca="false">IF(A103="","",IF(ANALISIS!S13="","(belum diisi)",ANALISIS!S13))</f>
        <v>(belum diisi)</v>
      </c>
      <c r="C103" s="65" t="str">
        <f aca="false">IF(A103="","",ANALISIS!B13)</f>
        <v>D</v>
      </c>
      <c r="D103" s="56" t="n">
        <f aca="false">IF(A103="","",ANALISIS!E13)</f>
        <v>0.838709677419355</v>
      </c>
      <c r="E103" s="55" t="n">
        <f aca="false">IF(OR(A103="",N_REMEDIAL=0),"",SUMIFS(SKOR!L$6:L$55,$F$43:$F$92,"Remedial")/N_REMEDIAL)</f>
        <v>0.8</v>
      </c>
      <c r="F103" s="55" t="n">
        <f aca="false">IF(OR(A103="",N_PENGAYAAN=0),"",SUMIFS(SKOR!L$6:L$55,$F$43:$F$92,"Pengayaan")/N_PENGAYAAN)</f>
        <v>1</v>
      </c>
      <c r="G103" s="66" t="str">
        <f aca="false">IF(A103="","",IF(J103="Ya","Bahas ulang pada kegiatan remedial",IF(J103="Tinjau soal","Soal bermasalah: periksa kunci/redaksi dulu","Tidak perlu bahasan khusus")))</f>
        <v>Tidak perlu bahasan khusus</v>
      </c>
      <c r="H103" s="71" t="str">
        <f aca="false">IF(A103="","",ANALISIS!Q13)</f>
        <v>Diganti/Dibuang</v>
      </c>
      <c r="I103" s="54" t="n">
        <f aca="false">IF(OR(A103="",N_REMEDIAL=0),"",COUNTIFS($F$43:$F$92,"Remedial",SKOR!L$6:L$55,0))</f>
        <v>5</v>
      </c>
      <c r="J103" s="68" t="str">
        <f aca="false">IF(A103="","",IF(N_REMEDIAL=0,"-",IF(E103&gt;=BATAS_BAHAS_ULANG,"-",IF(H103="Diganti/Dibuang","Tinjau soal","Ya"))))</f>
        <v>-</v>
      </c>
      <c r="L103" s="70" t="str">
        <f aca="false">IF(J103="Ya",A103,"")</f>
        <v/>
      </c>
      <c r="M103" s="72" t="str">
        <f aca="false">IF(AND(J103="Ya",B103&lt;&gt;"(belum diisi)"),B103,"")</f>
        <v/>
      </c>
      <c r="N103" s="70" t="str">
        <f aca="false">IF(J103="Tinjau soal",A103,"")</f>
        <v/>
      </c>
    </row>
    <row r="104" customFormat="false" ht="14.25" hidden="false" customHeight="false" outlineLevel="0" collapsed="false">
      <c r="A104" s="65" t="n">
        <f aca="false">IF(ANALISIS!B14="","",ANALISIS!A14)</f>
        <v>9</v>
      </c>
      <c r="B104" s="66" t="str">
        <f aca="false">IF(A104="","",IF(ANALISIS!S14="","(belum diisi)",ANALISIS!S14))</f>
        <v>(belum diisi)</v>
      </c>
      <c r="C104" s="65" t="str">
        <f aca="false">IF(A104="","",ANALISIS!B14)</f>
        <v>D</v>
      </c>
      <c r="D104" s="56" t="n">
        <f aca="false">IF(A104="","",ANALISIS!E14)</f>
        <v>0.451612903225806</v>
      </c>
      <c r="E104" s="55" t="n">
        <f aca="false">IF(OR(A104="",N_REMEDIAL=0),"",SUMIFS(SKOR!M$6:M$55,$F$43:$F$92,"Remedial")/N_REMEDIAL)</f>
        <v>0.44</v>
      </c>
      <c r="F104" s="55" t="n">
        <f aca="false">IF(OR(A104="",N_PENGAYAAN=0),"",SUMIFS(SKOR!M$6:M$55,$F$43:$F$92,"Pengayaan")/N_PENGAYAAN)</f>
        <v>0.5</v>
      </c>
      <c r="G104" s="66" t="str">
        <f aca="false">IF(A104="","",IF(J104="Ya","Bahas ulang pada kegiatan remedial",IF(J104="Tinjau soal","Soal bermasalah: periksa kunci/redaksi dulu","Tidak perlu bahasan khusus")))</f>
        <v>Bahas ulang pada kegiatan remedial</v>
      </c>
      <c r="H104" s="71" t="str">
        <f aca="false">IF(A104="","",ANALISIS!Q14)</f>
        <v>Direvisi</v>
      </c>
      <c r="I104" s="54" t="n">
        <f aca="false">IF(OR(A104="",N_REMEDIAL=0),"",COUNTIFS($F$43:$F$92,"Remedial",SKOR!M$6:M$55,0))</f>
        <v>14</v>
      </c>
      <c r="J104" s="68" t="str">
        <f aca="false">IF(A104="","",IF(N_REMEDIAL=0,"-",IF(E104&gt;=BATAS_BAHAS_ULANG,"-",IF(H104="Diganti/Dibuang","Tinjau soal","Ya"))))</f>
        <v>Ya</v>
      </c>
      <c r="L104" s="70" t="n">
        <f aca="false">IF(J104="Ya",A104,"")</f>
        <v>9</v>
      </c>
      <c r="M104" s="72" t="str">
        <f aca="false">IF(AND(J104="Ya",B104&lt;&gt;"(belum diisi)"),B104,"")</f>
        <v/>
      </c>
      <c r="N104" s="70" t="str">
        <f aca="false">IF(J104="Tinjau soal",A104,"")</f>
        <v/>
      </c>
    </row>
    <row r="105" customFormat="false" ht="14.25" hidden="false" customHeight="false" outlineLevel="0" collapsed="false">
      <c r="A105" s="65" t="n">
        <f aca="false">IF(ANALISIS!B15="","",ANALISIS!A15)</f>
        <v>10</v>
      </c>
      <c r="B105" s="66" t="str">
        <f aca="false">IF(A105="","",IF(ANALISIS!S15="","(belum diisi)",ANALISIS!S15))</f>
        <v>(belum diisi)</v>
      </c>
      <c r="C105" s="65" t="str">
        <f aca="false">IF(A105="","",ANALISIS!B15)</f>
        <v>C</v>
      </c>
      <c r="D105" s="56" t="n">
        <f aca="false">IF(A105="","",ANALISIS!E15)</f>
        <v>0.483870967741936</v>
      </c>
      <c r="E105" s="55" t="n">
        <f aca="false">IF(OR(A105="",N_REMEDIAL=0),"",SUMIFS(SKOR!N$6:N$55,$F$43:$F$92,"Remedial")/N_REMEDIAL)</f>
        <v>0.48</v>
      </c>
      <c r="F105" s="55" t="n">
        <f aca="false">IF(OR(A105="",N_PENGAYAAN=0),"",SUMIFS(SKOR!N$6:N$55,$F$43:$F$92,"Pengayaan")/N_PENGAYAAN)</f>
        <v>0.5</v>
      </c>
      <c r="G105" s="66" t="str">
        <f aca="false">IF(A105="","",IF(J105="Ya","Bahas ulang pada kegiatan remedial",IF(J105="Tinjau soal","Soal bermasalah: periksa kunci/redaksi dulu","Tidak perlu bahasan khusus")))</f>
        <v>Bahas ulang pada kegiatan remedial</v>
      </c>
      <c r="H105" s="71" t="str">
        <f aca="false">IF(A105="","",ANALISIS!Q15)</f>
        <v>Direvisi</v>
      </c>
      <c r="I105" s="54" t="n">
        <f aca="false">IF(OR(A105="",N_REMEDIAL=0),"",COUNTIFS($F$43:$F$92,"Remedial",SKOR!N$6:N$55,0))</f>
        <v>13</v>
      </c>
      <c r="J105" s="68" t="str">
        <f aca="false">IF(A105="","",IF(N_REMEDIAL=0,"-",IF(E105&gt;=BATAS_BAHAS_ULANG,"-",IF(H105="Diganti/Dibuang","Tinjau soal","Ya"))))</f>
        <v>Ya</v>
      </c>
      <c r="L105" s="70" t="n">
        <f aca="false">IF(J105="Ya",A105,"")</f>
        <v>10</v>
      </c>
      <c r="M105" s="72" t="str">
        <f aca="false">IF(AND(J105="Ya",B105&lt;&gt;"(belum diisi)"),B105,"")</f>
        <v/>
      </c>
      <c r="N105" s="70" t="str">
        <f aca="false">IF(J105="Tinjau soal",A105,"")</f>
        <v/>
      </c>
    </row>
    <row r="106" customFormat="false" ht="14.25" hidden="false" customHeight="false" outlineLevel="0" collapsed="false">
      <c r="A106" s="65" t="n">
        <f aca="false">IF(ANALISIS!B16="","",ANALISIS!A16)</f>
        <v>11</v>
      </c>
      <c r="B106" s="66" t="str">
        <f aca="false">IF(A106="","",IF(ANALISIS!S16="","(belum diisi)",ANALISIS!S16))</f>
        <v>(belum diisi)</v>
      </c>
      <c r="C106" s="65" t="str">
        <f aca="false">IF(A106="","",ANALISIS!B16)</f>
        <v>C</v>
      </c>
      <c r="D106" s="56" t="n">
        <f aca="false">IF(A106="","",ANALISIS!E16)</f>
        <v>0.645161290322581</v>
      </c>
      <c r="E106" s="55" t="n">
        <f aca="false">IF(OR(A106="",N_REMEDIAL=0),"",SUMIFS(SKOR!O$6:O$55,$F$43:$F$92,"Remedial")/N_REMEDIAL)</f>
        <v>0.56</v>
      </c>
      <c r="F106" s="55" t="n">
        <f aca="false">IF(OR(A106="",N_PENGAYAAN=0),"",SUMIFS(SKOR!O$6:O$55,$F$43:$F$92,"Pengayaan")/N_PENGAYAAN)</f>
        <v>1</v>
      </c>
      <c r="G106" s="66" t="str">
        <f aca="false">IF(A106="","",IF(J106="Ya","Bahas ulang pada kegiatan remedial",IF(J106="Tinjau soal","Soal bermasalah: periksa kunci/redaksi dulu","Tidak perlu bahasan khusus")))</f>
        <v>Bahas ulang pada kegiatan remedial</v>
      </c>
      <c r="H106" s="71" t="str">
        <f aca="false">IF(A106="","",ANALISIS!Q16)</f>
        <v>Diterima</v>
      </c>
      <c r="I106" s="54" t="n">
        <f aca="false">IF(OR(A106="",N_REMEDIAL=0),"",COUNTIFS($F$43:$F$92,"Remedial",SKOR!O$6:O$55,0))</f>
        <v>11</v>
      </c>
      <c r="J106" s="68" t="str">
        <f aca="false">IF(A106="","",IF(N_REMEDIAL=0,"-",IF(E106&gt;=BATAS_BAHAS_ULANG,"-",IF(H106="Diganti/Dibuang","Tinjau soal","Ya"))))</f>
        <v>Ya</v>
      </c>
      <c r="L106" s="70" t="n">
        <f aca="false">IF(J106="Ya",A106,"")</f>
        <v>11</v>
      </c>
      <c r="M106" s="72" t="str">
        <f aca="false">IF(AND(J106="Ya",B106&lt;&gt;"(belum diisi)"),B106,"")</f>
        <v/>
      </c>
      <c r="N106" s="70" t="str">
        <f aca="false">IF(J106="Tinjau soal",A106,"")</f>
        <v/>
      </c>
    </row>
    <row r="107" customFormat="false" ht="14.25" hidden="false" customHeight="false" outlineLevel="0" collapsed="false">
      <c r="A107" s="65" t="n">
        <f aca="false">IF(ANALISIS!B17="","",ANALISIS!A17)</f>
        <v>12</v>
      </c>
      <c r="B107" s="66" t="str">
        <f aca="false">IF(A107="","",IF(ANALISIS!S17="","(belum diisi)",ANALISIS!S17))</f>
        <v>(belum diisi)</v>
      </c>
      <c r="C107" s="65" t="str">
        <f aca="false">IF(A107="","",ANALISIS!B17)</f>
        <v>C</v>
      </c>
      <c r="D107" s="56" t="n">
        <f aca="false">IF(A107="","",ANALISIS!E17)</f>
        <v>0.580645161290323</v>
      </c>
      <c r="E107" s="55" t="n">
        <f aca="false">IF(OR(A107="",N_REMEDIAL=0),"",SUMIFS(SKOR!P$6:P$55,$F$43:$F$92,"Remedial")/N_REMEDIAL)</f>
        <v>0.48</v>
      </c>
      <c r="F107" s="55" t="n">
        <f aca="false">IF(OR(A107="",N_PENGAYAAN=0),"",SUMIFS(SKOR!P$6:P$55,$F$43:$F$92,"Pengayaan")/N_PENGAYAAN)</f>
        <v>1</v>
      </c>
      <c r="G107" s="66" t="str">
        <f aca="false">IF(A107="","",IF(J107="Ya","Bahas ulang pada kegiatan remedial",IF(J107="Tinjau soal","Soal bermasalah: periksa kunci/redaksi dulu","Tidak perlu bahasan khusus")))</f>
        <v>Bahas ulang pada kegiatan remedial</v>
      </c>
      <c r="H107" s="71" t="str">
        <f aca="false">IF(A107="","",ANALISIS!Q17)</f>
        <v>Diterima</v>
      </c>
      <c r="I107" s="54" t="n">
        <f aca="false">IF(OR(A107="",N_REMEDIAL=0),"",COUNTIFS($F$43:$F$92,"Remedial",SKOR!P$6:P$55,0))</f>
        <v>13</v>
      </c>
      <c r="J107" s="68" t="str">
        <f aca="false">IF(A107="","",IF(N_REMEDIAL=0,"-",IF(E107&gt;=BATAS_BAHAS_ULANG,"-",IF(H107="Diganti/Dibuang","Tinjau soal","Ya"))))</f>
        <v>Ya</v>
      </c>
      <c r="L107" s="70" t="n">
        <f aca="false">IF(J107="Ya",A107,"")</f>
        <v>12</v>
      </c>
      <c r="M107" s="72" t="str">
        <f aca="false">IF(AND(J107="Ya",B107&lt;&gt;"(belum diisi)"),B107,"")</f>
        <v/>
      </c>
      <c r="N107" s="70" t="str">
        <f aca="false">IF(J107="Tinjau soal",A107,"")</f>
        <v/>
      </c>
    </row>
    <row r="108" customFormat="false" ht="14.25" hidden="false" customHeight="false" outlineLevel="0" collapsed="false">
      <c r="A108" s="65" t="n">
        <f aca="false">IF(ANALISIS!B18="","",ANALISIS!A18)</f>
        <v>13</v>
      </c>
      <c r="B108" s="66" t="str">
        <f aca="false">IF(A108="","",IF(ANALISIS!S18="","(belum diisi)",ANALISIS!S18))</f>
        <v>(belum diisi)</v>
      </c>
      <c r="C108" s="65" t="str">
        <f aca="false">IF(A108="","",ANALISIS!B18)</f>
        <v>D</v>
      </c>
      <c r="D108" s="56" t="n">
        <f aca="false">IF(A108="","",ANALISIS!E18)</f>
        <v>0.67741935483871</v>
      </c>
      <c r="E108" s="55" t="n">
        <f aca="false">IF(OR(A108="",N_REMEDIAL=0),"",SUMIFS(SKOR!Q$6:Q$55,$F$43:$F$92,"Remedial")/N_REMEDIAL)</f>
        <v>0.68</v>
      </c>
      <c r="F108" s="55" t="n">
        <f aca="false">IF(OR(A108="",N_PENGAYAAN=0),"",SUMIFS(SKOR!Q$6:Q$55,$F$43:$F$92,"Pengayaan")/N_PENGAYAAN)</f>
        <v>0.666666666666667</v>
      </c>
      <c r="G108" s="66" t="str">
        <f aca="false">IF(A108="","",IF(J108="Ya","Bahas ulang pada kegiatan remedial",IF(J108="Tinjau soal","Soal bermasalah: periksa kunci/redaksi dulu","Tidak perlu bahasan khusus")))</f>
        <v>Tidak perlu bahasan khusus</v>
      </c>
      <c r="H108" s="71" t="str">
        <f aca="false">IF(A108="","",ANALISIS!Q18)</f>
        <v>Diganti/Dibuang</v>
      </c>
      <c r="I108" s="54" t="n">
        <f aca="false">IF(OR(A108="",N_REMEDIAL=0),"",COUNTIFS($F$43:$F$92,"Remedial",SKOR!Q$6:Q$55,0))</f>
        <v>8</v>
      </c>
      <c r="J108" s="68" t="str">
        <f aca="false">IF(A108="","",IF(N_REMEDIAL=0,"-",IF(E108&gt;=BATAS_BAHAS_ULANG,"-",IF(H108="Diganti/Dibuang","Tinjau soal","Ya"))))</f>
        <v>-</v>
      </c>
      <c r="L108" s="70" t="str">
        <f aca="false">IF(J108="Ya",A108,"")</f>
        <v/>
      </c>
      <c r="M108" s="72" t="str">
        <f aca="false">IF(AND(J108="Ya",B108&lt;&gt;"(belum diisi)"),B108,"")</f>
        <v/>
      </c>
      <c r="N108" s="70" t="str">
        <f aca="false">IF(J108="Tinjau soal",A108,"")</f>
        <v/>
      </c>
    </row>
    <row r="109" customFormat="false" ht="14.25" hidden="false" customHeight="false" outlineLevel="0" collapsed="false">
      <c r="A109" s="65" t="n">
        <f aca="false">IF(ANALISIS!B19="","",ANALISIS!A19)</f>
        <v>14</v>
      </c>
      <c r="B109" s="66" t="str">
        <f aca="false">IF(A109="","",IF(ANALISIS!S19="","(belum diisi)",ANALISIS!S19))</f>
        <v>(belum diisi)</v>
      </c>
      <c r="C109" s="65" t="str">
        <f aca="false">IF(A109="","",ANALISIS!B19)</f>
        <v>A</v>
      </c>
      <c r="D109" s="56" t="n">
        <f aca="false">IF(A109="","",ANALISIS!E19)</f>
        <v>0.580645161290323</v>
      </c>
      <c r="E109" s="55" t="n">
        <f aca="false">IF(OR(A109="",N_REMEDIAL=0),"",SUMIFS(SKOR!R$6:R$55,$F$43:$F$92,"Remedial")/N_REMEDIAL)</f>
        <v>0.56</v>
      </c>
      <c r="F109" s="55" t="n">
        <f aca="false">IF(OR(A109="",N_PENGAYAAN=0),"",SUMIFS(SKOR!R$6:R$55,$F$43:$F$92,"Pengayaan")/N_PENGAYAAN)</f>
        <v>0.666666666666667</v>
      </c>
      <c r="G109" s="66" t="str">
        <f aca="false">IF(A109="","",IF(J109="Ya","Bahas ulang pada kegiatan remedial",IF(J109="Tinjau soal","Soal bermasalah: periksa kunci/redaksi dulu","Tidak perlu bahasan khusus")))</f>
        <v>Bahas ulang pada kegiatan remedial</v>
      </c>
      <c r="H109" s="71" t="str">
        <f aca="false">IF(A109="","",ANALISIS!Q19)</f>
        <v>Diterima</v>
      </c>
      <c r="I109" s="54" t="n">
        <f aca="false">IF(OR(A109="",N_REMEDIAL=0),"",COUNTIFS($F$43:$F$92,"Remedial",SKOR!R$6:R$55,0))</f>
        <v>11</v>
      </c>
      <c r="J109" s="68" t="str">
        <f aca="false">IF(A109="","",IF(N_REMEDIAL=0,"-",IF(E109&gt;=BATAS_BAHAS_ULANG,"-",IF(H109="Diganti/Dibuang","Tinjau soal","Ya"))))</f>
        <v>Ya</v>
      </c>
      <c r="L109" s="70" t="n">
        <f aca="false">IF(J109="Ya",A109,"")</f>
        <v>14</v>
      </c>
      <c r="M109" s="72" t="str">
        <f aca="false">IF(AND(J109="Ya",B109&lt;&gt;"(belum diisi)"),B109,"")</f>
        <v/>
      </c>
      <c r="N109" s="70" t="str">
        <f aca="false">IF(J109="Tinjau soal",A109,"")</f>
        <v/>
      </c>
    </row>
    <row r="110" customFormat="false" ht="14.25" hidden="false" customHeight="false" outlineLevel="0" collapsed="false">
      <c r="A110" s="65" t="n">
        <f aca="false">IF(ANALISIS!B20="","",ANALISIS!A20)</f>
        <v>15</v>
      </c>
      <c r="B110" s="66" t="str">
        <f aca="false">IF(A110="","",IF(ANALISIS!S20="","(belum diisi)",ANALISIS!S20))</f>
        <v>(belum diisi)</v>
      </c>
      <c r="C110" s="65" t="str">
        <f aca="false">IF(A110="","",ANALISIS!B20)</f>
        <v>B</v>
      </c>
      <c r="D110" s="56" t="n">
        <f aca="false">IF(A110="","",ANALISIS!E20)</f>
        <v>0.516129032258065</v>
      </c>
      <c r="E110" s="55" t="n">
        <f aca="false">IF(OR(A110="",N_REMEDIAL=0),"",SUMIFS(SKOR!S$6:S$55,$F$43:$F$92,"Remedial")/N_REMEDIAL)</f>
        <v>0.4</v>
      </c>
      <c r="F110" s="55" t="n">
        <f aca="false">IF(OR(A110="",N_PENGAYAAN=0),"",SUMIFS(SKOR!S$6:S$55,$F$43:$F$92,"Pengayaan")/N_PENGAYAAN)</f>
        <v>1</v>
      </c>
      <c r="G110" s="66" t="str">
        <f aca="false">IF(A110="","",IF(J110="Ya","Bahas ulang pada kegiatan remedial",IF(J110="Tinjau soal","Soal bermasalah: periksa kunci/redaksi dulu","Tidak perlu bahasan khusus")))</f>
        <v>Bahas ulang pada kegiatan remedial</v>
      </c>
      <c r="H110" s="71" t="str">
        <f aca="false">IF(A110="","",ANALISIS!Q20)</f>
        <v>Diterima</v>
      </c>
      <c r="I110" s="54" t="n">
        <f aca="false">IF(OR(A110="",N_REMEDIAL=0),"",COUNTIFS($F$43:$F$92,"Remedial",SKOR!S$6:S$55,0))</f>
        <v>15</v>
      </c>
      <c r="J110" s="68" t="str">
        <f aca="false">IF(A110="","",IF(N_REMEDIAL=0,"-",IF(E110&gt;=BATAS_BAHAS_ULANG,"-",IF(H110="Diganti/Dibuang","Tinjau soal","Ya"))))</f>
        <v>Ya</v>
      </c>
      <c r="L110" s="70" t="n">
        <f aca="false">IF(J110="Ya",A110,"")</f>
        <v>15</v>
      </c>
      <c r="M110" s="72" t="str">
        <f aca="false">IF(AND(J110="Ya",B110&lt;&gt;"(belum diisi)"),B110,"")</f>
        <v/>
      </c>
      <c r="N110" s="70" t="str">
        <f aca="false">IF(J110="Tinjau soal",A110,"")</f>
        <v/>
      </c>
    </row>
    <row r="111" customFormat="false" ht="14.25" hidden="false" customHeight="false" outlineLevel="0" collapsed="false">
      <c r="A111" s="65" t="n">
        <f aca="false">IF(ANALISIS!B21="","",ANALISIS!A21)</f>
        <v>16</v>
      </c>
      <c r="B111" s="66" t="str">
        <f aca="false">IF(A111="","",IF(ANALISIS!S21="","(belum diisi)",ANALISIS!S21))</f>
        <v>(belum diisi)</v>
      </c>
      <c r="C111" s="65" t="str">
        <f aca="false">IF(A111="","",ANALISIS!B21)</f>
        <v>C</v>
      </c>
      <c r="D111" s="56" t="n">
        <f aca="false">IF(A111="","",ANALISIS!E21)</f>
        <v>0.548387096774194</v>
      </c>
      <c r="E111" s="55" t="n">
        <f aca="false">IF(OR(A111="",N_REMEDIAL=0),"",SUMIFS(SKOR!T$6:T$55,$F$43:$F$92,"Remedial")/N_REMEDIAL)</f>
        <v>0.44</v>
      </c>
      <c r="F111" s="55" t="n">
        <f aca="false">IF(OR(A111="",N_PENGAYAAN=0),"",SUMIFS(SKOR!T$6:T$55,$F$43:$F$92,"Pengayaan")/N_PENGAYAAN)</f>
        <v>1</v>
      </c>
      <c r="G111" s="66" t="str">
        <f aca="false">IF(A111="","",IF(J111="Ya","Bahas ulang pada kegiatan remedial",IF(J111="Tinjau soal","Soal bermasalah: periksa kunci/redaksi dulu","Tidak perlu bahasan khusus")))</f>
        <v>Bahas ulang pada kegiatan remedial</v>
      </c>
      <c r="H111" s="71" t="str">
        <f aca="false">IF(A111="","",ANALISIS!Q21)</f>
        <v>Diterima</v>
      </c>
      <c r="I111" s="54" t="n">
        <f aca="false">IF(OR(A111="",N_REMEDIAL=0),"",COUNTIFS($F$43:$F$92,"Remedial",SKOR!T$6:T$55,0))</f>
        <v>14</v>
      </c>
      <c r="J111" s="68" t="str">
        <f aca="false">IF(A111="","",IF(N_REMEDIAL=0,"-",IF(E111&gt;=BATAS_BAHAS_ULANG,"-",IF(H111="Diganti/Dibuang","Tinjau soal","Ya"))))</f>
        <v>Ya</v>
      </c>
      <c r="L111" s="70" t="n">
        <f aca="false">IF(J111="Ya",A111,"")</f>
        <v>16</v>
      </c>
      <c r="M111" s="72" t="str">
        <f aca="false">IF(AND(J111="Ya",B111&lt;&gt;"(belum diisi)"),B111,"")</f>
        <v/>
      </c>
      <c r="N111" s="70" t="str">
        <f aca="false">IF(J111="Tinjau soal",A111,"")</f>
        <v/>
      </c>
    </row>
    <row r="112" customFormat="false" ht="14.25" hidden="false" customHeight="false" outlineLevel="0" collapsed="false">
      <c r="A112" s="65" t="n">
        <f aca="false">IF(ANALISIS!B22="","",ANALISIS!A22)</f>
        <v>17</v>
      </c>
      <c r="B112" s="66" t="str">
        <f aca="false">IF(A112="","",IF(ANALISIS!S22="","(belum diisi)",ANALISIS!S22))</f>
        <v>(belum diisi)</v>
      </c>
      <c r="C112" s="65" t="str">
        <f aca="false">IF(A112="","",ANALISIS!B22)</f>
        <v>C</v>
      </c>
      <c r="D112" s="56" t="n">
        <f aca="false">IF(A112="","",ANALISIS!E22)</f>
        <v>0.451612903225806</v>
      </c>
      <c r="E112" s="55" t="n">
        <f aca="false">IF(OR(A112="",N_REMEDIAL=0),"",SUMIFS(SKOR!U$6:U$55,$F$43:$F$92,"Remedial")/N_REMEDIAL)</f>
        <v>0.4</v>
      </c>
      <c r="F112" s="55" t="n">
        <f aca="false">IF(OR(A112="",N_PENGAYAAN=0),"",SUMIFS(SKOR!U$6:U$55,$F$43:$F$92,"Pengayaan")/N_PENGAYAAN)</f>
        <v>0.666666666666667</v>
      </c>
      <c r="G112" s="66" t="str">
        <f aca="false">IF(A112="","",IF(J112="Ya","Bahas ulang pada kegiatan remedial",IF(J112="Tinjau soal","Soal bermasalah: periksa kunci/redaksi dulu","Tidak perlu bahasan khusus")))</f>
        <v>Soal bermasalah: periksa kunci/redaksi dulu</v>
      </c>
      <c r="H112" s="71" t="str">
        <f aca="false">IF(A112="","",ANALISIS!Q22)</f>
        <v>Diganti/Dibuang</v>
      </c>
      <c r="I112" s="54" t="n">
        <f aca="false">IF(OR(A112="",N_REMEDIAL=0),"",COUNTIFS($F$43:$F$92,"Remedial",SKOR!U$6:U$55,0))</f>
        <v>15</v>
      </c>
      <c r="J112" s="68" t="str">
        <f aca="false">IF(A112="","",IF(N_REMEDIAL=0,"-",IF(E112&gt;=BATAS_BAHAS_ULANG,"-",IF(H112="Diganti/Dibuang","Tinjau soal","Ya"))))</f>
        <v>Tinjau soal</v>
      </c>
      <c r="L112" s="70" t="str">
        <f aca="false">IF(J112="Ya",A112,"")</f>
        <v/>
      </c>
      <c r="M112" s="72" t="str">
        <f aca="false">IF(AND(J112="Ya",B112&lt;&gt;"(belum diisi)"),B112,"")</f>
        <v/>
      </c>
      <c r="N112" s="70" t="n">
        <f aca="false">IF(J112="Tinjau soal",A112,"")</f>
        <v>17</v>
      </c>
    </row>
    <row r="113" customFormat="false" ht="14.25" hidden="false" customHeight="false" outlineLevel="0" collapsed="false">
      <c r="A113" s="65" t="n">
        <f aca="false">IF(ANALISIS!B23="","",ANALISIS!A23)</f>
        <v>18</v>
      </c>
      <c r="B113" s="66" t="str">
        <f aca="false">IF(A113="","",IF(ANALISIS!S23="","(belum diisi)",ANALISIS!S23))</f>
        <v>(belum diisi)</v>
      </c>
      <c r="C113" s="65" t="str">
        <f aca="false">IF(A113="","",ANALISIS!B23)</f>
        <v>A</v>
      </c>
      <c r="D113" s="56" t="n">
        <f aca="false">IF(A113="","",ANALISIS!E23)</f>
        <v>0.483870967741936</v>
      </c>
      <c r="E113" s="55" t="n">
        <f aca="false">IF(OR(A113="",N_REMEDIAL=0),"",SUMIFS(SKOR!V$6:V$55,$F$43:$F$92,"Remedial")/N_REMEDIAL)</f>
        <v>0.4</v>
      </c>
      <c r="F113" s="55" t="n">
        <f aca="false">IF(OR(A113="",N_PENGAYAAN=0),"",SUMIFS(SKOR!V$6:V$55,$F$43:$F$92,"Pengayaan")/N_PENGAYAAN)</f>
        <v>0.833333333333333</v>
      </c>
      <c r="G113" s="66" t="str">
        <f aca="false">IF(A113="","",IF(J113="Ya","Bahas ulang pada kegiatan remedial",IF(J113="Tinjau soal","Soal bermasalah: periksa kunci/redaksi dulu","Tidak perlu bahasan khusus")))</f>
        <v>Bahas ulang pada kegiatan remedial</v>
      </c>
      <c r="H113" s="71" t="str">
        <f aca="false">IF(A113="","",ANALISIS!Q23)</f>
        <v>Diterima</v>
      </c>
      <c r="I113" s="54" t="n">
        <f aca="false">IF(OR(A113="",N_REMEDIAL=0),"",COUNTIFS($F$43:$F$92,"Remedial",SKOR!V$6:V$55,0))</f>
        <v>15</v>
      </c>
      <c r="J113" s="68" t="str">
        <f aca="false">IF(A113="","",IF(N_REMEDIAL=0,"-",IF(E113&gt;=BATAS_BAHAS_ULANG,"-",IF(H113="Diganti/Dibuang","Tinjau soal","Ya"))))</f>
        <v>Ya</v>
      </c>
      <c r="L113" s="70" t="n">
        <f aca="false">IF(J113="Ya",A113,"")</f>
        <v>18</v>
      </c>
      <c r="M113" s="72" t="str">
        <f aca="false">IF(AND(J113="Ya",B113&lt;&gt;"(belum diisi)"),B113,"")</f>
        <v/>
      </c>
      <c r="N113" s="70" t="str">
        <f aca="false">IF(J113="Tinjau soal",A113,"")</f>
        <v/>
      </c>
    </row>
    <row r="114" customFormat="false" ht="14.25" hidden="false" customHeight="false" outlineLevel="0" collapsed="false">
      <c r="A114" s="65" t="n">
        <f aca="false">IF(ANALISIS!B24="","",ANALISIS!A24)</f>
        <v>19</v>
      </c>
      <c r="B114" s="66" t="str">
        <f aca="false">IF(A114="","",IF(ANALISIS!S24="","(belum diisi)",ANALISIS!S24))</f>
        <v>(belum diisi)</v>
      </c>
      <c r="C114" s="65" t="str">
        <f aca="false">IF(A114="","",ANALISIS!B24)</f>
        <v>C</v>
      </c>
      <c r="D114" s="56" t="n">
        <f aca="false">IF(A114="","",ANALISIS!E24)</f>
        <v>0.580645161290323</v>
      </c>
      <c r="E114" s="55" t="n">
        <f aca="false">IF(OR(A114="",N_REMEDIAL=0),"",SUMIFS(SKOR!W$6:W$55,$F$43:$F$92,"Remedial")/N_REMEDIAL)</f>
        <v>0.52</v>
      </c>
      <c r="F114" s="55" t="n">
        <f aca="false">IF(OR(A114="",N_PENGAYAAN=0),"",SUMIFS(SKOR!W$6:W$55,$F$43:$F$92,"Pengayaan")/N_PENGAYAAN)</f>
        <v>0.833333333333333</v>
      </c>
      <c r="G114" s="66" t="str">
        <f aca="false">IF(A114="","",IF(J114="Ya","Bahas ulang pada kegiatan remedial",IF(J114="Tinjau soal","Soal bermasalah: periksa kunci/redaksi dulu","Tidak perlu bahasan khusus")))</f>
        <v>Soal bermasalah: periksa kunci/redaksi dulu</v>
      </c>
      <c r="H114" s="71" t="str">
        <f aca="false">IF(A114="","",ANALISIS!Q24)</f>
        <v>Diganti/Dibuang</v>
      </c>
      <c r="I114" s="54" t="n">
        <f aca="false">IF(OR(A114="",N_REMEDIAL=0),"",COUNTIFS($F$43:$F$92,"Remedial",SKOR!W$6:W$55,0))</f>
        <v>12</v>
      </c>
      <c r="J114" s="68" t="str">
        <f aca="false">IF(A114="","",IF(N_REMEDIAL=0,"-",IF(E114&gt;=BATAS_BAHAS_ULANG,"-",IF(H114="Diganti/Dibuang","Tinjau soal","Ya"))))</f>
        <v>Tinjau soal</v>
      </c>
      <c r="L114" s="70" t="str">
        <f aca="false">IF(J114="Ya",A114,"")</f>
        <v/>
      </c>
      <c r="M114" s="72" t="str">
        <f aca="false">IF(AND(J114="Ya",B114&lt;&gt;"(belum diisi)"),B114,"")</f>
        <v/>
      </c>
      <c r="N114" s="70" t="n">
        <f aca="false">IF(J114="Tinjau soal",A114,"")</f>
        <v>19</v>
      </c>
    </row>
    <row r="115" customFormat="false" ht="14.25" hidden="false" customHeight="false" outlineLevel="0" collapsed="false">
      <c r="A115" s="65" t="n">
        <f aca="false">IF(ANALISIS!B25="","",ANALISIS!A25)</f>
        <v>20</v>
      </c>
      <c r="B115" s="66" t="str">
        <f aca="false">IF(A115="","",IF(ANALISIS!S25="","(belum diisi)",ANALISIS!S25))</f>
        <v>(belum diisi)</v>
      </c>
      <c r="C115" s="65" t="str">
        <f aca="false">IF(A115="","",ANALISIS!B25)</f>
        <v>B</v>
      </c>
      <c r="D115" s="56" t="n">
        <f aca="false">IF(A115="","",ANALISIS!E25)</f>
        <v>0.709677419354839</v>
      </c>
      <c r="E115" s="55" t="n">
        <f aca="false">IF(OR(A115="",N_REMEDIAL=0),"",SUMIFS(SKOR!X$6:X$55,$F$43:$F$92,"Remedial")/N_REMEDIAL)</f>
        <v>0.64</v>
      </c>
      <c r="F115" s="55" t="n">
        <f aca="false">IF(OR(A115="",N_PENGAYAAN=0),"",SUMIFS(SKOR!X$6:X$55,$F$43:$F$92,"Pengayaan")/N_PENGAYAAN)</f>
        <v>1</v>
      </c>
      <c r="G115" s="66" t="str">
        <f aca="false">IF(A115="","",IF(J115="Ya","Bahas ulang pada kegiatan remedial",IF(J115="Tinjau soal","Soal bermasalah: periksa kunci/redaksi dulu","Tidak perlu bahasan khusus")))</f>
        <v>Tidak perlu bahasan khusus</v>
      </c>
      <c r="H115" s="71" t="str">
        <f aca="false">IF(A115="","",ANALISIS!Q25)</f>
        <v>Direvisi</v>
      </c>
      <c r="I115" s="54" t="n">
        <f aca="false">IF(OR(A115="",N_REMEDIAL=0),"",COUNTIFS($F$43:$F$92,"Remedial",SKOR!X$6:X$55,0))</f>
        <v>9</v>
      </c>
      <c r="J115" s="68" t="str">
        <f aca="false">IF(A115="","",IF(N_REMEDIAL=0,"-",IF(E115&gt;=BATAS_BAHAS_ULANG,"-",IF(H115="Diganti/Dibuang","Tinjau soal","Ya"))))</f>
        <v>-</v>
      </c>
      <c r="L115" s="70" t="str">
        <f aca="false">IF(J115="Ya",A115,"")</f>
        <v/>
      </c>
      <c r="M115" s="72" t="str">
        <f aca="false">IF(AND(J115="Ya",B115&lt;&gt;"(belum diisi)"),B115,"")</f>
        <v/>
      </c>
      <c r="N115" s="70" t="str">
        <f aca="false">IF(J115="Tinjau soal",A115,"")</f>
        <v/>
      </c>
    </row>
    <row r="116" customFormat="false" ht="14.25" hidden="false" customHeight="false" outlineLevel="0" collapsed="false">
      <c r="A116" s="65" t="n">
        <f aca="false">IF(ANALISIS!B26="","",ANALISIS!A26)</f>
        <v>21</v>
      </c>
      <c r="B116" s="66" t="str">
        <f aca="false">IF(A116="","",IF(ANALISIS!S26="","(belum diisi)",ANALISIS!S26))</f>
        <v>(belum diisi)</v>
      </c>
      <c r="C116" s="65" t="str">
        <f aca="false">IF(A116="","",ANALISIS!B26)</f>
        <v>D</v>
      </c>
      <c r="D116" s="56" t="n">
        <f aca="false">IF(A116="","",ANALISIS!E26)</f>
        <v>0.580645161290323</v>
      </c>
      <c r="E116" s="55" t="n">
        <f aca="false">IF(OR(A116="",N_REMEDIAL=0),"",SUMIFS(SKOR!Y$6:Y$55,$F$43:$F$92,"Remedial")/N_REMEDIAL)</f>
        <v>0.52</v>
      </c>
      <c r="F116" s="55" t="n">
        <f aca="false">IF(OR(A116="",N_PENGAYAAN=0),"",SUMIFS(SKOR!Y$6:Y$55,$F$43:$F$92,"Pengayaan")/N_PENGAYAAN)</f>
        <v>0.833333333333333</v>
      </c>
      <c r="G116" s="66" t="str">
        <f aca="false">IF(A116="","",IF(J116="Ya","Bahas ulang pada kegiatan remedial",IF(J116="Tinjau soal","Soal bermasalah: periksa kunci/redaksi dulu","Tidak perlu bahasan khusus")))</f>
        <v>Bahas ulang pada kegiatan remedial</v>
      </c>
      <c r="H116" s="71" t="str">
        <f aca="false">IF(A116="","",ANALISIS!Q26)</f>
        <v>Diterima</v>
      </c>
      <c r="I116" s="54" t="n">
        <f aca="false">IF(OR(A116="",N_REMEDIAL=0),"",COUNTIFS($F$43:$F$92,"Remedial",SKOR!Y$6:Y$55,0))</f>
        <v>12</v>
      </c>
      <c r="J116" s="68" t="str">
        <f aca="false">IF(A116="","",IF(N_REMEDIAL=0,"-",IF(E116&gt;=BATAS_BAHAS_ULANG,"-",IF(H116="Diganti/Dibuang","Tinjau soal","Ya"))))</f>
        <v>Ya</v>
      </c>
      <c r="L116" s="70" t="n">
        <f aca="false">IF(J116="Ya",A116,"")</f>
        <v>21</v>
      </c>
      <c r="M116" s="72" t="str">
        <f aca="false">IF(AND(J116="Ya",B116&lt;&gt;"(belum diisi)"),B116,"")</f>
        <v/>
      </c>
      <c r="N116" s="70" t="str">
        <f aca="false">IF(J116="Tinjau soal",A116,"")</f>
        <v/>
      </c>
    </row>
    <row r="117" customFormat="false" ht="14.25" hidden="false" customHeight="false" outlineLevel="0" collapsed="false">
      <c r="A117" s="65" t="n">
        <f aca="false">IF(ANALISIS!B27="","",ANALISIS!A27)</f>
        <v>22</v>
      </c>
      <c r="B117" s="66" t="str">
        <f aca="false">IF(A117="","",IF(ANALISIS!S27="","(belum diisi)",ANALISIS!S27))</f>
        <v>(belum diisi)</v>
      </c>
      <c r="C117" s="65" t="str">
        <f aca="false">IF(A117="","",ANALISIS!B27)</f>
        <v>D</v>
      </c>
      <c r="D117" s="56" t="n">
        <f aca="false">IF(A117="","",ANALISIS!E27)</f>
        <v>0.645161290322581</v>
      </c>
      <c r="E117" s="55" t="n">
        <f aca="false">IF(OR(A117="",N_REMEDIAL=0),"",SUMIFS(SKOR!Z$6:Z$55,$F$43:$F$92,"Remedial")/N_REMEDIAL)</f>
        <v>0.64</v>
      </c>
      <c r="F117" s="55" t="n">
        <f aca="false">IF(OR(A117="",N_PENGAYAAN=0),"",SUMIFS(SKOR!Z$6:Z$55,$F$43:$F$92,"Pengayaan")/N_PENGAYAAN)</f>
        <v>0.666666666666667</v>
      </c>
      <c r="G117" s="66" t="str">
        <f aca="false">IF(A117="","",IF(J117="Ya","Bahas ulang pada kegiatan remedial",IF(J117="Tinjau soal","Soal bermasalah: periksa kunci/redaksi dulu","Tidak perlu bahasan khusus")))</f>
        <v>Tidak perlu bahasan khusus</v>
      </c>
      <c r="H117" s="71" t="str">
        <f aca="false">IF(A117="","",ANALISIS!Q27)</f>
        <v>Direvisi</v>
      </c>
      <c r="I117" s="54" t="n">
        <f aca="false">IF(OR(A117="",N_REMEDIAL=0),"",COUNTIFS($F$43:$F$92,"Remedial",SKOR!Z$6:Z$55,0))</f>
        <v>9</v>
      </c>
      <c r="J117" s="68" t="str">
        <f aca="false">IF(A117="","",IF(N_REMEDIAL=0,"-",IF(E117&gt;=BATAS_BAHAS_ULANG,"-",IF(H117="Diganti/Dibuang","Tinjau soal","Ya"))))</f>
        <v>-</v>
      </c>
      <c r="L117" s="70" t="str">
        <f aca="false">IF(J117="Ya",A117,"")</f>
        <v/>
      </c>
      <c r="M117" s="72" t="str">
        <f aca="false">IF(AND(J117="Ya",B117&lt;&gt;"(belum diisi)"),B117,"")</f>
        <v/>
      </c>
      <c r="N117" s="70" t="str">
        <f aca="false">IF(J117="Tinjau soal",A117,"")</f>
        <v/>
      </c>
    </row>
    <row r="118" customFormat="false" ht="14.25" hidden="false" customHeight="false" outlineLevel="0" collapsed="false">
      <c r="A118" s="65" t="n">
        <f aca="false">IF(ANALISIS!B28="","",ANALISIS!A28)</f>
        <v>23</v>
      </c>
      <c r="B118" s="66" t="str">
        <f aca="false">IF(A118="","",IF(ANALISIS!S28="","(belum diisi)",ANALISIS!S28))</f>
        <v>(belum diisi)</v>
      </c>
      <c r="C118" s="65" t="str">
        <f aca="false">IF(A118="","",ANALISIS!B28)</f>
        <v>A</v>
      </c>
      <c r="D118" s="56" t="n">
        <f aca="false">IF(A118="","",ANALISIS!E28)</f>
        <v>0.709677419354839</v>
      </c>
      <c r="E118" s="55" t="n">
        <f aca="false">IF(OR(A118="",N_REMEDIAL=0),"",SUMIFS(SKOR!AA$6:AA$55,$F$43:$F$92,"Remedial")/N_REMEDIAL)</f>
        <v>0.72</v>
      </c>
      <c r="F118" s="55" t="n">
        <f aca="false">IF(OR(A118="",N_PENGAYAAN=0),"",SUMIFS(SKOR!AA$6:AA$55,$F$43:$F$92,"Pengayaan")/N_PENGAYAAN)</f>
        <v>0.666666666666667</v>
      </c>
      <c r="G118" s="66" t="str">
        <f aca="false">IF(A118="","",IF(J118="Ya","Bahas ulang pada kegiatan remedial",IF(J118="Tinjau soal","Soal bermasalah: periksa kunci/redaksi dulu","Tidak perlu bahasan khusus")))</f>
        <v>Tidak perlu bahasan khusus</v>
      </c>
      <c r="H118" s="71" t="str">
        <f aca="false">IF(A118="","",ANALISIS!Q28)</f>
        <v>Diganti/Dibuang</v>
      </c>
      <c r="I118" s="54" t="n">
        <f aca="false">IF(OR(A118="",N_REMEDIAL=0),"",COUNTIFS($F$43:$F$92,"Remedial",SKOR!AA$6:AA$55,0))</f>
        <v>7</v>
      </c>
      <c r="J118" s="68" t="str">
        <f aca="false">IF(A118="","",IF(N_REMEDIAL=0,"-",IF(E118&gt;=BATAS_BAHAS_ULANG,"-",IF(H118="Diganti/Dibuang","Tinjau soal","Ya"))))</f>
        <v>-</v>
      </c>
      <c r="L118" s="70" t="str">
        <f aca="false">IF(J118="Ya",A118,"")</f>
        <v/>
      </c>
      <c r="M118" s="72" t="str">
        <f aca="false">IF(AND(J118="Ya",B118&lt;&gt;"(belum diisi)"),B118,"")</f>
        <v/>
      </c>
      <c r="N118" s="70" t="str">
        <f aca="false">IF(J118="Tinjau soal",A118,"")</f>
        <v/>
      </c>
    </row>
    <row r="119" customFormat="false" ht="14.25" hidden="false" customHeight="false" outlineLevel="0" collapsed="false">
      <c r="A119" s="65" t="n">
        <f aca="false">IF(ANALISIS!B29="","",ANALISIS!A29)</f>
        <v>24</v>
      </c>
      <c r="B119" s="66" t="str">
        <f aca="false">IF(A119="","",IF(ANALISIS!S29="","(belum diisi)",ANALISIS!S29))</f>
        <v>(belum diisi)</v>
      </c>
      <c r="C119" s="65" t="str">
        <f aca="false">IF(A119="","",ANALISIS!B29)</f>
        <v>C</v>
      </c>
      <c r="D119" s="56" t="n">
        <f aca="false">IF(A119="","",ANALISIS!E29)</f>
        <v>0.67741935483871</v>
      </c>
      <c r="E119" s="55" t="n">
        <f aca="false">IF(OR(A119="",N_REMEDIAL=0),"",SUMIFS(SKOR!AB$6:AB$55,$F$43:$F$92,"Remedial")/N_REMEDIAL)</f>
        <v>0.64</v>
      </c>
      <c r="F119" s="55" t="n">
        <f aca="false">IF(OR(A119="",N_PENGAYAAN=0),"",SUMIFS(SKOR!AB$6:AB$55,$F$43:$F$92,"Pengayaan")/N_PENGAYAAN)</f>
        <v>0.833333333333333</v>
      </c>
      <c r="G119" s="66" t="str">
        <f aca="false">IF(A119="","",IF(J119="Ya","Bahas ulang pada kegiatan remedial",IF(J119="Tinjau soal","Soal bermasalah: periksa kunci/redaksi dulu","Tidak perlu bahasan khusus")))</f>
        <v>Tidak perlu bahasan khusus</v>
      </c>
      <c r="H119" s="71" t="str">
        <f aca="false">IF(A119="","",ANALISIS!Q29)</f>
        <v>Diterima</v>
      </c>
      <c r="I119" s="54" t="n">
        <f aca="false">IF(OR(A119="",N_REMEDIAL=0),"",COUNTIFS($F$43:$F$92,"Remedial",SKOR!AB$6:AB$55,0))</f>
        <v>9</v>
      </c>
      <c r="J119" s="68" t="str">
        <f aca="false">IF(A119="","",IF(N_REMEDIAL=0,"-",IF(E119&gt;=BATAS_BAHAS_ULANG,"-",IF(H119="Diganti/Dibuang","Tinjau soal","Ya"))))</f>
        <v>-</v>
      </c>
      <c r="L119" s="70" t="str">
        <f aca="false">IF(J119="Ya",A119,"")</f>
        <v/>
      </c>
      <c r="M119" s="72" t="str">
        <f aca="false">IF(AND(J119="Ya",B119&lt;&gt;"(belum diisi)"),B119,"")</f>
        <v/>
      </c>
      <c r="N119" s="70" t="str">
        <f aca="false">IF(J119="Tinjau soal",A119,"")</f>
        <v/>
      </c>
    </row>
    <row r="120" customFormat="false" ht="14.25" hidden="false" customHeight="false" outlineLevel="0" collapsed="false">
      <c r="A120" s="65" t="n">
        <f aca="false">IF(ANALISIS!B30="","",ANALISIS!A30)</f>
        <v>25</v>
      </c>
      <c r="B120" s="66" t="str">
        <f aca="false">IF(A120="","",IF(ANALISIS!S30="","(belum diisi)",ANALISIS!S30))</f>
        <v>(belum diisi)</v>
      </c>
      <c r="C120" s="65" t="str">
        <f aca="false">IF(A120="","",ANALISIS!B30)</f>
        <v>D</v>
      </c>
      <c r="D120" s="56" t="n">
        <f aca="false">IF(A120="","",ANALISIS!E30)</f>
        <v>0.612903225806452</v>
      </c>
      <c r="E120" s="55" t="n">
        <f aca="false">IF(OR(A120="",N_REMEDIAL=0),"",SUMIFS(SKOR!AC$6:AC$55,$F$43:$F$92,"Remedial")/N_REMEDIAL)</f>
        <v>0.6</v>
      </c>
      <c r="F120" s="55" t="n">
        <f aca="false">IF(OR(A120="",N_PENGAYAAN=0),"",SUMIFS(SKOR!AC$6:AC$55,$F$43:$F$92,"Pengayaan")/N_PENGAYAAN)</f>
        <v>0.666666666666667</v>
      </c>
      <c r="G120" s="66" t="str">
        <f aca="false">IF(A120="","",IF(J120="Ya","Bahas ulang pada kegiatan remedial",IF(J120="Tinjau soal","Soal bermasalah: periksa kunci/redaksi dulu","Tidak perlu bahasan khusus")))</f>
        <v>Tidak perlu bahasan khusus</v>
      </c>
      <c r="H120" s="71" t="str">
        <f aca="false">IF(A120="","",ANALISIS!Q30)</f>
        <v>Diganti/Dibuang</v>
      </c>
      <c r="I120" s="54" t="n">
        <f aca="false">IF(OR(A120="",N_REMEDIAL=0),"",COUNTIFS($F$43:$F$92,"Remedial",SKOR!AC$6:AC$55,0))</f>
        <v>10</v>
      </c>
      <c r="J120" s="68" t="str">
        <f aca="false">IF(A120="","",IF(N_REMEDIAL=0,"-",IF(E120&gt;=BATAS_BAHAS_ULANG,"-",IF(H120="Diganti/Dibuang","Tinjau soal","Ya"))))</f>
        <v>-</v>
      </c>
      <c r="L120" s="70" t="str">
        <f aca="false">IF(J120="Ya",A120,"")</f>
        <v/>
      </c>
      <c r="M120" s="72" t="str">
        <f aca="false">IF(AND(J120="Ya",B120&lt;&gt;"(belum diisi)"),B120,"")</f>
        <v/>
      </c>
      <c r="N120" s="70" t="str">
        <f aca="false">IF(J120="Tinjau soal",A120,"")</f>
        <v/>
      </c>
    </row>
    <row r="121" customFormat="false" ht="14.25" hidden="false" customHeight="false" outlineLevel="0" collapsed="false">
      <c r="A121" s="65" t="n">
        <f aca="false">IF(ANALISIS!B31="","",ANALISIS!A31)</f>
        <v>26</v>
      </c>
      <c r="B121" s="66" t="str">
        <f aca="false">IF(A121="","",IF(ANALISIS!S31="","(belum diisi)",ANALISIS!S31))</f>
        <v>(belum diisi)</v>
      </c>
      <c r="C121" s="65" t="str">
        <f aca="false">IF(A121="","",ANALISIS!B31)</f>
        <v>C</v>
      </c>
      <c r="D121" s="56" t="n">
        <f aca="false">IF(A121="","",ANALISIS!E31)</f>
        <v>0.580645161290323</v>
      </c>
      <c r="E121" s="55" t="n">
        <f aca="false">IF(OR(A121="",N_REMEDIAL=0),"",SUMIFS(SKOR!AD$6:AD$55,$F$43:$F$92,"Remedial")/N_REMEDIAL)</f>
        <v>0.56</v>
      </c>
      <c r="F121" s="55" t="n">
        <f aca="false">IF(OR(A121="",N_PENGAYAAN=0),"",SUMIFS(SKOR!AD$6:AD$55,$F$43:$F$92,"Pengayaan")/N_PENGAYAAN)</f>
        <v>0.666666666666667</v>
      </c>
      <c r="G121" s="66" t="str">
        <f aca="false">IF(A121="","",IF(J121="Ya","Bahas ulang pada kegiatan remedial",IF(J121="Tinjau soal","Soal bermasalah: periksa kunci/redaksi dulu","Tidak perlu bahasan khusus")))</f>
        <v>Bahas ulang pada kegiatan remedial</v>
      </c>
      <c r="H121" s="71" t="str">
        <f aca="false">IF(A121="","",ANALISIS!Q31)</f>
        <v>Direvisi</v>
      </c>
      <c r="I121" s="54" t="n">
        <f aca="false">IF(OR(A121="",N_REMEDIAL=0),"",COUNTIFS($F$43:$F$92,"Remedial",SKOR!AD$6:AD$55,0))</f>
        <v>11</v>
      </c>
      <c r="J121" s="68" t="str">
        <f aca="false">IF(A121="","",IF(N_REMEDIAL=0,"-",IF(E121&gt;=BATAS_BAHAS_ULANG,"-",IF(H121="Diganti/Dibuang","Tinjau soal","Ya"))))</f>
        <v>Ya</v>
      </c>
      <c r="L121" s="70" t="n">
        <f aca="false">IF(J121="Ya",A121,"")</f>
        <v>26</v>
      </c>
      <c r="M121" s="72" t="str">
        <f aca="false">IF(AND(J121="Ya",B121&lt;&gt;"(belum diisi)"),B121,"")</f>
        <v/>
      </c>
      <c r="N121" s="70" t="str">
        <f aca="false">IF(J121="Tinjau soal",A121,"")</f>
        <v/>
      </c>
    </row>
    <row r="122" customFormat="false" ht="14.25" hidden="false" customHeight="false" outlineLevel="0" collapsed="false">
      <c r="A122" s="65" t="n">
        <f aca="false">IF(ANALISIS!B32="","",ANALISIS!A32)</f>
        <v>27</v>
      </c>
      <c r="B122" s="66" t="str">
        <f aca="false">IF(A122="","",IF(ANALISIS!S32="","(belum diisi)",ANALISIS!S32))</f>
        <v>(belum diisi)</v>
      </c>
      <c r="C122" s="65" t="str">
        <f aca="false">IF(A122="","",ANALISIS!B32)</f>
        <v>C</v>
      </c>
      <c r="D122" s="56" t="n">
        <f aca="false">IF(A122="","",ANALISIS!E32)</f>
        <v>0.580645161290323</v>
      </c>
      <c r="E122" s="55" t="n">
        <f aca="false">IF(OR(A122="",N_REMEDIAL=0),"",SUMIFS(SKOR!AE$6:AE$55,$F$43:$F$92,"Remedial")/N_REMEDIAL)</f>
        <v>0.52</v>
      </c>
      <c r="F122" s="55" t="n">
        <f aca="false">IF(OR(A122="",N_PENGAYAAN=0),"",SUMIFS(SKOR!AE$6:AE$55,$F$43:$F$92,"Pengayaan")/N_PENGAYAAN)</f>
        <v>0.833333333333333</v>
      </c>
      <c r="G122" s="66" t="str">
        <f aca="false">IF(A122="","",IF(J122="Ya","Bahas ulang pada kegiatan remedial",IF(J122="Tinjau soal","Soal bermasalah: periksa kunci/redaksi dulu","Tidak perlu bahasan khusus")))</f>
        <v>Bahas ulang pada kegiatan remedial</v>
      </c>
      <c r="H122" s="71" t="str">
        <f aca="false">IF(A122="","",ANALISIS!Q32)</f>
        <v>Diterima</v>
      </c>
      <c r="I122" s="54" t="n">
        <f aca="false">IF(OR(A122="",N_REMEDIAL=0),"",COUNTIFS($F$43:$F$92,"Remedial",SKOR!AE$6:AE$55,0))</f>
        <v>12</v>
      </c>
      <c r="J122" s="68" t="str">
        <f aca="false">IF(A122="","",IF(N_REMEDIAL=0,"-",IF(E122&gt;=BATAS_BAHAS_ULANG,"-",IF(H122="Diganti/Dibuang","Tinjau soal","Ya"))))</f>
        <v>Ya</v>
      </c>
      <c r="L122" s="70" t="n">
        <f aca="false">IF(J122="Ya",A122,"")</f>
        <v>27</v>
      </c>
      <c r="M122" s="72" t="str">
        <f aca="false">IF(AND(J122="Ya",B122&lt;&gt;"(belum diisi)"),B122,"")</f>
        <v/>
      </c>
      <c r="N122" s="70" t="str">
        <f aca="false">IF(J122="Tinjau soal",A122,"")</f>
        <v/>
      </c>
    </row>
    <row r="123" customFormat="false" ht="14.25" hidden="false" customHeight="false" outlineLevel="0" collapsed="false">
      <c r="A123" s="65" t="n">
        <f aca="false">IF(ANALISIS!B33="","",ANALISIS!A33)</f>
        <v>28</v>
      </c>
      <c r="B123" s="66" t="str">
        <f aca="false">IF(A123="","",IF(ANALISIS!S33="","(belum diisi)",ANALISIS!S33))</f>
        <v>(belum diisi)</v>
      </c>
      <c r="C123" s="65" t="str">
        <f aca="false">IF(A123="","",ANALISIS!B33)</f>
        <v>C</v>
      </c>
      <c r="D123" s="56" t="n">
        <f aca="false">IF(A123="","",ANALISIS!E33)</f>
        <v>0.419354838709677</v>
      </c>
      <c r="E123" s="55" t="n">
        <f aca="false">IF(OR(A123="",N_REMEDIAL=0),"",SUMIFS(SKOR!AF$6:AF$55,$F$43:$F$92,"Remedial")/N_REMEDIAL)</f>
        <v>0.36</v>
      </c>
      <c r="F123" s="55" t="n">
        <f aca="false">IF(OR(A123="",N_PENGAYAAN=0),"",SUMIFS(SKOR!AF$6:AF$55,$F$43:$F$92,"Pengayaan")/N_PENGAYAAN)</f>
        <v>0.666666666666667</v>
      </c>
      <c r="G123" s="66" t="str">
        <f aca="false">IF(A123="","",IF(J123="Ya","Bahas ulang pada kegiatan remedial",IF(J123="Tinjau soal","Soal bermasalah: periksa kunci/redaksi dulu","Tidak perlu bahasan khusus")))</f>
        <v>Bahas ulang pada kegiatan remedial</v>
      </c>
      <c r="H123" s="71" t="str">
        <f aca="false">IF(A123="","",ANALISIS!Q33)</f>
        <v>Diterima</v>
      </c>
      <c r="I123" s="54" t="n">
        <f aca="false">IF(OR(A123="",N_REMEDIAL=0),"",COUNTIFS($F$43:$F$92,"Remedial",SKOR!AF$6:AF$55,0))</f>
        <v>16</v>
      </c>
      <c r="J123" s="68" t="str">
        <f aca="false">IF(A123="","",IF(N_REMEDIAL=0,"-",IF(E123&gt;=BATAS_BAHAS_ULANG,"-",IF(H123="Diganti/Dibuang","Tinjau soal","Ya"))))</f>
        <v>Ya</v>
      </c>
      <c r="L123" s="70" t="n">
        <f aca="false">IF(J123="Ya",A123,"")</f>
        <v>28</v>
      </c>
      <c r="M123" s="72" t="str">
        <f aca="false">IF(AND(J123="Ya",B123&lt;&gt;"(belum diisi)"),B123,"")</f>
        <v/>
      </c>
      <c r="N123" s="70" t="str">
        <f aca="false">IF(J123="Tinjau soal",A123,"")</f>
        <v/>
      </c>
    </row>
    <row r="124" customFormat="false" ht="14.25" hidden="false" customHeight="false" outlineLevel="0" collapsed="false">
      <c r="A124" s="65" t="n">
        <f aca="false">IF(ANALISIS!B34="","",ANALISIS!A34)</f>
        <v>29</v>
      </c>
      <c r="B124" s="66" t="str">
        <f aca="false">IF(A124="","",IF(ANALISIS!S34="","(belum diisi)",ANALISIS!S34))</f>
        <v>(belum diisi)</v>
      </c>
      <c r="C124" s="65" t="str">
        <f aca="false">IF(A124="","",ANALISIS!B34)</f>
        <v>D</v>
      </c>
      <c r="D124" s="56" t="n">
        <f aca="false">IF(A124="","",ANALISIS!E34)</f>
        <v>0.548387096774194</v>
      </c>
      <c r="E124" s="55" t="n">
        <f aca="false">IF(OR(A124="",N_REMEDIAL=0),"",SUMIFS(SKOR!AG$6:AG$55,$F$43:$F$92,"Remedial")/N_REMEDIAL)</f>
        <v>0.44</v>
      </c>
      <c r="F124" s="55" t="n">
        <f aca="false">IF(OR(A124="",N_PENGAYAAN=0),"",SUMIFS(SKOR!AG$6:AG$55,$F$43:$F$92,"Pengayaan")/N_PENGAYAAN)</f>
        <v>1</v>
      </c>
      <c r="G124" s="66" t="str">
        <f aca="false">IF(A124="","",IF(J124="Ya","Bahas ulang pada kegiatan remedial",IF(J124="Tinjau soal","Soal bermasalah: periksa kunci/redaksi dulu","Tidak perlu bahasan khusus")))</f>
        <v>Bahas ulang pada kegiatan remedial</v>
      </c>
      <c r="H124" s="71" t="str">
        <f aca="false">IF(A124="","",ANALISIS!Q34)</f>
        <v>Diterima</v>
      </c>
      <c r="I124" s="54" t="n">
        <f aca="false">IF(OR(A124="",N_REMEDIAL=0),"",COUNTIFS($F$43:$F$92,"Remedial",SKOR!AG$6:AG$55,0))</f>
        <v>14</v>
      </c>
      <c r="J124" s="68" t="str">
        <f aca="false">IF(A124="","",IF(N_REMEDIAL=0,"-",IF(E124&gt;=BATAS_BAHAS_ULANG,"-",IF(H124="Diganti/Dibuang","Tinjau soal","Ya"))))</f>
        <v>Ya</v>
      </c>
      <c r="L124" s="70" t="n">
        <f aca="false">IF(J124="Ya",A124,"")</f>
        <v>29</v>
      </c>
      <c r="M124" s="72" t="str">
        <f aca="false">IF(AND(J124="Ya",B124&lt;&gt;"(belum diisi)"),B124,"")</f>
        <v/>
      </c>
      <c r="N124" s="70" t="str">
        <f aca="false">IF(J124="Tinjau soal",A124,"")</f>
        <v/>
      </c>
    </row>
    <row r="125" customFormat="false" ht="14.25" hidden="false" customHeight="false" outlineLevel="0" collapsed="false">
      <c r="A125" s="65" t="n">
        <f aca="false">IF(ANALISIS!B35="","",ANALISIS!A35)</f>
        <v>30</v>
      </c>
      <c r="B125" s="66" t="str">
        <f aca="false">IF(A125="","",IF(ANALISIS!S35="","(belum diisi)",ANALISIS!S35))</f>
        <v>(belum diisi)</v>
      </c>
      <c r="C125" s="65" t="str">
        <f aca="false">IF(A125="","",ANALISIS!B35)</f>
        <v>D</v>
      </c>
      <c r="D125" s="56" t="n">
        <f aca="false">IF(A125="","",ANALISIS!E35)</f>
        <v>0.645161290322581</v>
      </c>
      <c r="E125" s="55" t="n">
        <f aca="false">IF(OR(A125="",N_REMEDIAL=0),"",SUMIFS(SKOR!AH$6:AH$55,$F$43:$F$92,"Remedial")/N_REMEDIAL)</f>
        <v>0.56</v>
      </c>
      <c r="F125" s="55" t="n">
        <f aca="false">IF(OR(A125="",N_PENGAYAAN=0),"",SUMIFS(SKOR!AH$6:AH$55,$F$43:$F$92,"Pengayaan")/N_PENGAYAAN)</f>
        <v>1</v>
      </c>
      <c r="G125" s="66" t="str">
        <f aca="false">IF(A125="","",IF(J125="Ya","Bahas ulang pada kegiatan remedial",IF(J125="Tinjau soal","Soal bermasalah: periksa kunci/redaksi dulu","Tidak perlu bahasan khusus")))</f>
        <v>Bahas ulang pada kegiatan remedial</v>
      </c>
      <c r="H125" s="71" t="str">
        <f aca="false">IF(A125="","",ANALISIS!Q35)</f>
        <v>Direvisi</v>
      </c>
      <c r="I125" s="54" t="n">
        <f aca="false">IF(OR(A125="",N_REMEDIAL=0),"",COUNTIFS($F$43:$F$92,"Remedial",SKOR!AH$6:AH$55,0))</f>
        <v>11</v>
      </c>
      <c r="J125" s="68" t="str">
        <f aca="false">IF(A125="","",IF(N_REMEDIAL=0,"-",IF(E125&gt;=BATAS_BAHAS_ULANG,"-",IF(H125="Diganti/Dibuang","Tinjau soal","Ya"))))</f>
        <v>Ya</v>
      </c>
      <c r="L125" s="70" t="n">
        <f aca="false">IF(J125="Ya",A125,"")</f>
        <v>30</v>
      </c>
      <c r="M125" s="72" t="str">
        <f aca="false">IF(AND(J125="Ya",B125&lt;&gt;"(belum diisi)"),B125,"")</f>
        <v/>
      </c>
      <c r="N125" s="70" t="str">
        <f aca="false">IF(J125="Tinjau soal",A125,"")</f>
        <v/>
      </c>
    </row>
    <row r="126" customFormat="false" ht="14.25" hidden="false" customHeight="false" outlineLevel="0" collapsed="false">
      <c r="A126" s="65" t="n">
        <f aca="false">IF(ANALISIS!B36="","",ANALISIS!A36)</f>
        <v>31</v>
      </c>
      <c r="B126" s="66" t="str">
        <f aca="false">IF(A126="","",IF(ANALISIS!S36="","(belum diisi)",ANALISIS!S36))</f>
        <v>(belum diisi)</v>
      </c>
      <c r="C126" s="65" t="str">
        <f aca="false">IF(A126="","",ANALISIS!B36)</f>
        <v>B</v>
      </c>
      <c r="D126" s="56" t="n">
        <f aca="false">IF(A126="","",ANALISIS!E36)</f>
        <v>0.645161290322581</v>
      </c>
      <c r="E126" s="55" t="n">
        <f aca="false">IF(OR(A126="",N_REMEDIAL=0),"",SUMIFS(SKOR!AI$6:AI$55,$F$43:$F$92,"Remedial")/N_REMEDIAL)</f>
        <v>0.64</v>
      </c>
      <c r="F126" s="55" t="n">
        <f aca="false">IF(OR(A126="",N_PENGAYAAN=0),"",SUMIFS(SKOR!AI$6:AI$55,$F$43:$F$92,"Pengayaan")/N_PENGAYAAN)</f>
        <v>0.666666666666667</v>
      </c>
      <c r="G126" s="66" t="str">
        <f aca="false">IF(A126="","",IF(J126="Ya","Bahas ulang pada kegiatan remedial",IF(J126="Tinjau soal","Soal bermasalah: periksa kunci/redaksi dulu","Tidak perlu bahasan khusus")))</f>
        <v>Tidak perlu bahasan khusus</v>
      </c>
      <c r="H126" s="71" t="str">
        <f aca="false">IF(A126="","",ANALISIS!Q36)</f>
        <v>Diganti/Dibuang</v>
      </c>
      <c r="I126" s="54" t="n">
        <f aca="false">IF(OR(A126="",N_REMEDIAL=0),"",COUNTIFS($F$43:$F$92,"Remedial",SKOR!AI$6:AI$55,0))</f>
        <v>9</v>
      </c>
      <c r="J126" s="68" t="str">
        <f aca="false">IF(A126="","",IF(N_REMEDIAL=0,"-",IF(E126&gt;=BATAS_BAHAS_ULANG,"-",IF(H126="Diganti/Dibuang","Tinjau soal","Ya"))))</f>
        <v>-</v>
      </c>
      <c r="L126" s="70" t="str">
        <f aca="false">IF(J126="Ya",A126,"")</f>
        <v/>
      </c>
      <c r="M126" s="72" t="str">
        <f aca="false">IF(AND(J126="Ya",B126&lt;&gt;"(belum diisi)"),B126,"")</f>
        <v/>
      </c>
      <c r="N126" s="70" t="str">
        <f aca="false">IF(J126="Tinjau soal",A126,"")</f>
        <v/>
      </c>
    </row>
    <row r="127" customFormat="false" ht="14.25" hidden="false" customHeight="false" outlineLevel="0" collapsed="false">
      <c r="A127" s="65" t="n">
        <f aca="false">IF(ANALISIS!B37="","",ANALISIS!A37)</f>
        <v>32</v>
      </c>
      <c r="B127" s="66" t="str">
        <f aca="false">IF(A127="","",IF(ANALISIS!S37="","(belum diisi)",ANALISIS!S37))</f>
        <v>(belum diisi)</v>
      </c>
      <c r="C127" s="65" t="str">
        <f aca="false">IF(A127="","",ANALISIS!B37)</f>
        <v>B</v>
      </c>
      <c r="D127" s="56" t="n">
        <f aca="false">IF(A127="","",ANALISIS!E37)</f>
        <v>0.67741935483871</v>
      </c>
      <c r="E127" s="55" t="n">
        <f aca="false">IF(OR(A127="",N_REMEDIAL=0),"",SUMIFS(SKOR!AJ$6:AJ$55,$F$43:$F$92,"Remedial")/N_REMEDIAL)</f>
        <v>0.64</v>
      </c>
      <c r="F127" s="55" t="n">
        <f aca="false">IF(OR(A127="",N_PENGAYAAN=0),"",SUMIFS(SKOR!AJ$6:AJ$55,$F$43:$F$92,"Pengayaan")/N_PENGAYAAN)</f>
        <v>0.833333333333333</v>
      </c>
      <c r="G127" s="66" t="str">
        <f aca="false">IF(A127="","",IF(J127="Ya","Bahas ulang pada kegiatan remedial",IF(J127="Tinjau soal","Soal bermasalah: periksa kunci/redaksi dulu","Tidak perlu bahasan khusus")))</f>
        <v>Tidak perlu bahasan khusus</v>
      </c>
      <c r="H127" s="71" t="str">
        <f aca="false">IF(A127="","",ANALISIS!Q37)</f>
        <v>Direvisi</v>
      </c>
      <c r="I127" s="54" t="n">
        <f aca="false">IF(OR(A127="",N_REMEDIAL=0),"",COUNTIFS($F$43:$F$92,"Remedial",SKOR!AJ$6:AJ$55,0))</f>
        <v>9</v>
      </c>
      <c r="J127" s="68" t="str">
        <f aca="false">IF(A127="","",IF(N_REMEDIAL=0,"-",IF(E127&gt;=BATAS_BAHAS_ULANG,"-",IF(H127="Diganti/Dibuang","Tinjau soal","Ya"))))</f>
        <v>-</v>
      </c>
      <c r="L127" s="70" t="str">
        <f aca="false">IF(J127="Ya",A127,"")</f>
        <v/>
      </c>
      <c r="M127" s="72" t="str">
        <f aca="false">IF(AND(J127="Ya",B127&lt;&gt;"(belum diisi)"),B127,"")</f>
        <v/>
      </c>
      <c r="N127" s="70" t="str">
        <f aca="false">IF(J127="Tinjau soal",A127,"")</f>
        <v/>
      </c>
    </row>
    <row r="128" customFormat="false" ht="14.25" hidden="false" customHeight="false" outlineLevel="0" collapsed="false">
      <c r="A128" s="65" t="n">
        <f aca="false">IF(ANALISIS!B38="","",ANALISIS!A38)</f>
        <v>33</v>
      </c>
      <c r="B128" s="66" t="str">
        <f aca="false">IF(A128="","",IF(ANALISIS!S38="","(belum diisi)",ANALISIS!S38))</f>
        <v>(belum diisi)</v>
      </c>
      <c r="C128" s="65" t="str">
        <f aca="false">IF(A128="","",ANALISIS!B38)</f>
        <v>D</v>
      </c>
      <c r="D128" s="56" t="n">
        <f aca="false">IF(A128="","",ANALISIS!E38)</f>
        <v>0.580645161290323</v>
      </c>
      <c r="E128" s="55" t="n">
        <f aca="false">IF(OR(A128="",N_REMEDIAL=0),"",SUMIFS(SKOR!AK$6:AK$55,$F$43:$F$92,"Remedial")/N_REMEDIAL)</f>
        <v>0.56</v>
      </c>
      <c r="F128" s="55" t="n">
        <f aca="false">IF(OR(A128="",N_PENGAYAAN=0),"",SUMIFS(SKOR!AK$6:AK$55,$F$43:$F$92,"Pengayaan")/N_PENGAYAAN)</f>
        <v>0.666666666666667</v>
      </c>
      <c r="G128" s="66" t="str">
        <f aca="false">IF(A128="","",IF(J128="Ya","Bahas ulang pada kegiatan remedial",IF(J128="Tinjau soal","Soal bermasalah: periksa kunci/redaksi dulu","Tidak perlu bahasan khusus")))</f>
        <v>Bahas ulang pada kegiatan remedial</v>
      </c>
      <c r="H128" s="71" t="str">
        <f aca="false">IF(A128="","",ANALISIS!Q38)</f>
        <v>Direvisi</v>
      </c>
      <c r="I128" s="54" t="n">
        <f aca="false">IF(OR(A128="",N_REMEDIAL=0),"",COUNTIFS($F$43:$F$92,"Remedial",SKOR!AK$6:AK$55,0))</f>
        <v>11</v>
      </c>
      <c r="J128" s="68" t="str">
        <f aca="false">IF(A128="","",IF(N_REMEDIAL=0,"-",IF(E128&gt;=BATAS_BAHAS_ULANG,"-",IF(H128="Diganti/Dibuang","Tinjau soal","Ya"))))</f>
        <v>Ya</v>
      </c>
      <c r="L128" s="70" t="n">
        <f aca="false">IF(J128="Ya",A128,"")</f>
        <v>33</v>
      </c>
      <c r="M128" s="72" t="str">
        <f aca="false">IF(AND(J128="Ya",B128&lt;&gt;"(belum diisi)"),B128,"")</f>
        <v/>
      </c>
      <c r="N128" s="70" t="str">
        <f aca="false">IF(J128="Tinjau soal",A128,"")</f>
        <v/>
      </c>
    </row>
    <row r="129" customFormat="false" ht="14.25" hidden="false" customHeight="false" outlineLevel="0" collapsed="false">
      <c r="A129" s="65" t="n">
        <f aca="false">IF(ANALISIS!B39="","",ANALISIS!A39)</f>
        <v>34</v>
      </c>
      <c r="B129" s="66" t="str">
        <f aca="false">IF(A129="","",IF(ANALISIS!S39="","(belum diisi)",ANALISIS!S39))</f>
        <v>(belum diisi)</v>
      </c>
      <c r="C129" s="65" t="str">
        <f aca="false">IF(A129="","",ANALISIS!B39)</f>
        <v>B</v>
      </c>
      <c r="D129" s="56" t="n">
        <f aca="false">IF(A129="","",ANALISIS!E39)</f>
        <v>0.645161290322581</v>
      </c>
      <c r="E129" s="55" t="n">
        <f aca="false">IF(OR(A129="",N_REMEDIAL=0),"",SUMIFS(SKOR!AL$6:AL$55,$F$43:$F$92,"Remedial")/N_REMEDIAL)</f>
        <v>0.6</v>
      </c>
      <c r="F129" s="55" t="n">
        <f aca="false">IF(OR(A129="",N_PENGAYAAN=0),"",SUMIFS(SKOR!AL$6:AL$55,$F$43:$F$92,"Pengayaan")/N_PENGAYAAN)</f>
        <v>0.833333333333333</v>
      </c>
      <c r="G129" s="66" t="str">
        <f aca="false">IF(A129="","",IF(J129="Ya","Bahas ulang pada kegiatan remedial",IF(J129="Tinjau soal","Soal bermasalah: periksa kunci/redaksi dulu","Tidak perlu bahasan khusus")))</f>
        <v>Tidak perlu bahasan khusus</v>
      </c>
      <c r="H129" s="71" t="str">
        <f aca="false">IF(A129="","",ANALISIS!Q39)</f>
        <v>Direvisi</v>
      </c>
      <c r="I129" s="54" t="n">
        <f aca="false">IF(OR(A129="",N_REMEDIAL=0),"",COUNTIFS($F$43:$F$92,"Remedial",SKOR!AL$6:AL$55,0))</f>
        <v>10</v>
      </c>
      <c r="J129" s="68" t="str">
        <f aca="false">IF(A129="","",IF(N_REMEDIAL=0,"-",IF(E129&gt;=BATAS_BAHAS_ULANG,"-",IF(H129="Diganti/Dibuang","Tinjau soal","Ya"))))</f>
        <v>-</v>
      </c>
      <c r="L129" s="70" t="str">
        <f aca="false">IF(J129="Ya",A129,"")</f>
        <v/>
      </c>
      <c r="M129" s="72" t="str">
        <f aca="false">IF(AND(J129="Ya",B129&lt;&gt;"(belum diisi)"),B129,"")</f>
        <v/>
      </c>
      <c r="N129" s="70" t="str">
        <f aca="false">IF(J129="Tinjau soal",A129,"")</f>
        <v/>
      </c>
    </row>
    <row r="130" customFormat="false" ht="14.25" hidden="false" customHeight="false" outlineLevel="0" collapsed="false">
      <c r="A130" s="65" t="n">
        <f aca="false">IF(ANALISIS!B40="","",ANALISIS!A40)</f>
        <v>35</v>
      </c>
      <c r="B130" s="66" t="str">
        <f aca="false">IF(A130="","",IF(ANALISIS!S40="","(belum diisi)",ANALISIS!S40))</f>
        <v>(belum diisi)</v>
      </c>
      <c r="C130" s="65" t="str">
        <f aca="false">IF(A130="","",ANALISIS!B40)</f>
        <v>A</v>
      </c>
      <c r="D130" s="56" t="n">
        <f aca="false">IF(A130="","",ANALISIS!E40)</f>
        <v>0.645161290322581</v>
      </c>
      <c r="E130" s="55" t="n">
        <f aca="false">IF(OR(A130="",N_REMEDIAL=0),"",SUMIFS(SKOR!AM$6:AM$55,$F$43:$F$92,"Remedial")/N_REMEDIAL)</f>
        <v>0.56</v>
      </c>
      <c r="F130" s="55" t="n">
        <f aca="false">IF(OR(A130="",N_PENGAYAAN=0),"",SUMIFS(SKOR!AM$6:AM$55,$F$43:$F$92,"Pengayaan")/N_PENGAYAAN)</f>
        <v>1</v>
      </c>
      <c r="G130" s="66" t="str">
        <f aca="false">IF(A130="","",IF(J130="Ya","Bahas ulang pada kegiatan remedial",IF(J130="Tinjau soal","Soal bermasalah: periksa kunci/redaksi dulu","Tidak perlu bahasan khusus")))</f>
        <v>Bahas ulang pada kegiatan remedial</v>
      </c>
      <c r="H130" s="71" t="str">
        <f aca="false">IF(A130="","",ANALISIS!Q40)</f>
        <v>Diterima</v>
      </c>
      <c r="I130" s="54" t="n">
        <f aca="false">IF(OR(A130="",N_REMEDIAL=0),"",COUNTIFS($F$43:$F$92,"Remedial",SKOR!AM$6:AM$55,0))</f>
        <v>11</v>
      </c>
      <c r="J130" s="68" t="str">
        <f aca="false">IF(A130="","",IF(N_REMEDIAL=0,"-",IF(E130&gt;=BATAS_BAHAS_ULANG,"-",IF(H130="Diganti/Dibuang","Tinjau soal","Ya"))))</f>
        <v>Ya</v>
      </c>
      <c r="L130" s="70" t="n">
        <f aca="false">IF(J130="Ya",A130,"")</f>
        <v>35</v>
      </c>
      <c r="M130" s="72" t="str">
        <f aca="false">IF(AND(J130="Ya",B130&lt;&gt;"(belum diisi)"),B130,"")</f>
        <v/>
      </c>
      <c r="N130" s="70" t="str">
        <f aca="false">IF(J130="Tinjau soal",A130,"")</f>
        <v/>
      </c>
    </row>
    <row r="131" customFormat="false" ht="14.25" hidden="false" customHeight="false" outlineLevel="0" collapsed="false">
      <c r="A131" s="65" t="n">
        <f aca="false">IF(ANALISIS!B41="","",ANALISIS!A41)</f>
        <v>36</v>
      </c>
      <c r="B131" s="66" t="str">
        <f aca="false">IF(A131="","",IF(ANALISIS!S41="","(belum diisi)",ANALISIS!S41))</f>
        <v>(belum diisi)</v>
      </c>
      <c r="C131" s="65" t="str">
        <f aca="false">IF(A131="","",ANALISIS!B41)</f>
        <v>B</v>
      </c>
      <c r="D131" s="56" t="n">
        <f aca="false">IF(A131="","",ANALISIS!E41)</f>
        <v>0.612903225806452</v>
      </c>
      <c r="E131" s="55" t="n">
        <f aca="false">IF(OR(A131="",N_REMEDIAL=0),"",SUMIFS(SKOR!AN$6:AN$55,$F$43:$F$92,"Remedial")/N_REMEDIAL)</f>
        <v>0.56</v>
      </c>
      <c r="F131" s="55" t="n">
        <f aca="false">IF(OR(A131="",N_PENGAYAAN=0),"",SUMIFS(SKOR!AN$6:AN$55,$F$43:$F$92,"Pengayaan")/N_PENGAYAAN)</f>
        <v>0.833333333333333</v>
      </c>
      <c r="G131" s="66" t="str">
        <f aca="false">IF(A131="","",IF(J131="Ya","Bahas ulang pada kegiatan remedial",IF(J131="Tinjau soal","Soal bermasalah: periksa kunci/redaksi dulu","Tidak perlu bahasan khusus")))</f>
        <v>Bahas ulang pada kegiatan remedial</v>
      </c>
      <c r="H131" s="71" t="str">
        <f aca="false">IF(A131="","",ANALISIS!Q41)</f>
        <v>Direvisi</v>
      </c>
      <c r="I131" s="54" t="n">
        <f aca="false">IF(OR(A131="",N_REMEDIAL=0),"",COUNTIFS($F$43:$F$92,"Remedial",SKOR!AN$6:AN$55,0))</f>
        <v>11</v>
      </c>
      <c r="J131" s="68" t="str">
        <f aca="false">IF(A131="","",IF(N_REMEDIAL=0,"-",IF(E131&gt;=BATAS_BAHAS_ULANG,"-",IF(H131="Diganti/Dibuang","Tinjau soal","Ya"))))</f>
        <v>Ya</v>
      </c>
      <c r="L131" s="70" t="n">
        <f aca="false">IF(J131="Ya",A131,"")</f>
        <v>36</v>
      </c>
      <c r="M131" s="72" t="str">
        <f aca="false">IF(AND(J131="Ya",B131&lt;&gt;"(belum diisi)"),B131,"")</f>
        <v/>
      </c>
      <c r="N131" s="70" t="str">
        <f aca="false">IF(J131="Tinjau soal",A131,"")</f>
        <v/>
      </c>
    </row>
    <row r="132" customFormat="false" ht="14.25" hidden="false" customHeight="false" outlineLevel="0" collapsed="false">
      <c r="A132" s="65" t="n">
        <f aca="false">IF(ANALISIS!B42="","",ANALISIS!A42)</f>
        <v>37</v>
      </c>
      <c r="B132" s="66" t="str">
        <f aca="false">IF(A132="","",IF(ANALISIS!S42="","(belum diisi)",ANALISIS!S42))</f>
        <v>(belum diisi)</v>
      </c>
      <c r="C132" s="65" t="str">
        <f aca="false">IF(A132="","",ANALISIS!B42)</f>
        <v>B</v>
      </c>
      <c r="D132" s="56" t="n">
        <f aca="false">IF(A132="","",ANALISIS!E42)</f>
        <v>0.516129032258065</v>
      </c>
      <c r="E132" s="55" t="n">
        <f aca="false">IF(OR(A132="",N_REMEDIAL=0),"",SUMIFS(SKOR!AO$6:AO$55,$F$43:$F$92,"Remedial")/N_REMEDIAL)</f>
        <v>0.4</v>
      </c>
      <c r="F132" s="55" t="n">
        <f aca="false">IF(OR(A132="",N_PENGAYAAN=0),"",SUMIFS(SKOR!AO$6:AO$55,$F$43:$F$92,"Pengayaan")/N_PENGAYAAN)</f>
        <v>1</v>
      </c>
      <c r="G132" s="66" t="str">
        <f aca="false">IF(A132="","",IF(J132="Ya","Bahas ulang pada kegiatan remedial",IF(J132="Tinjau soal","Soal bermasalah: periksa kunci/redaksi dulu","Tidak perlu bahasan khusus")))</f>
        <v>Bahas ulang pada kegiatan remedial</v>
      </c>
      <c r="H132" s="71" t="str">
        <f aca="false">IF(A132="","",ANALISIS!Q42)</f>
        <v>Diterima</v>
      </c>
      <c r="I132" s="54" t="n">
        <f aca="false">IF(OR(A132="",N_REMEDIAL=0),"",COUNTIFS($F$43:$F$92,"Remedial",SKOR!AO$6:AO$55,0))</f>
        <v>15</v>
      </c>
      <c r="J132" s="68" t="str">
        <f aca="false">IF(A132="","",IF(N_REMEDIAL=0,"-",IF(E132&gt;=BATAS_BAHAS_ULANG,"-",IF(H132="Diganti/Dibuang","Tinjau soal","Ya"))))</f>
        <v>Ya</v>
      </c>
      <c r="L132" s="70" t="n">
        <f aca="false">IF(J132="Ya",A132,"")</f>
        <v>37</v>
      </c>
      <c r="M132" s="72" t="str">
        <f aca="false">IF(AND(J132="Ya",B132&lt;&gt;"(belum diisi)"),B132,"")</f>
        <v/>
      </c>
      <c r="N132" s="70" t="str">
        <f aca="false">IF(J132="Tinjau soal",A132,"")</f>
        <v/>
      </c>
    </row>
    <row r="133" customFormat="false" ht="14.25" hidden="false" customHeight="false" outlineLevel="0" collapsed="false">
      <c r="A133" s="65" t="n">
        <f aca="false">IF(ANALISIS!B43="","",ANALISIS!A43)</f>
        <v>38</v>
      </c>
      <c r="B133" s="66" t="str">
        <f aca="false">IF(A133="","",IF(ANALISIS!S43="","(belum diisi)",ANALISIS!S43))</f>
        <v>(belum diisi)</v>
      </c>
      <c r="C133" s="65" t="str">
        <f aca="false">IF(A133="","",ANALISIS!B43)</f>
        <v>B</v>
      </c>
      <c r="D133" s="56" t="n">
        <f aca="false">IF(A133="","",ANALISIS!E43)</f>
        <v>0.612903225806452</v>
      </c>
      <c r="E133" s="55" t="n">
        <f aca="false">IF(OR(A133="",N_REMEDIAL=0),"",SUMIFS(SKOR!AP$6:AP$55,$F$43:$F$92,"Remedial")/N_REMEDIAL)</f>
        <v>0.56</v>
      </c>
      <c r="F133" s="55" t="n">
        <f aca="false">IF(OR(A133="",N_PENGAYAAN=0),"",SUMIFS(SKOR!AP$6:AP$55,$F$43:$F$92,"Pengayaan")/N_PENGAYAAN)</f>
        <v>0.833333333333333</v>
      </c>
      <c r="G133" s="66" t="str">
        <f aca="false">IF(A133="","",IF(J133="Ya","Bahas ulang pada kegiatan remedial",IF(J133="Tinjau soal","Soal bermasalah: periksa kunci/redaksi dulu","Tidak perlu bahasan khusus")))</f>
        <v>Bahas ulang pada kegiatan remedial</v>
      </c>
      <c r="H133" s="71" t="str">
        <f aca="false">IF(A133="","",ANALISIS!Q43)</f>
        <v>Direvisi</v>
      </c>
      <c r="I133" s="54" t="n">
        <f aca="false">IF(OR(A133="",N_REMEDIAL=0),"",COUNTIFS($F$43:$F$92,"Remedial",SKOR!AP$6:AP$55,0))</f>
        <v>11</v>
      </c>
      <c r="J133" s="68" t="str">
        <f aca="false">IF(A133="","",IF(N_REMEDIAL=0,"-",IF(E133&gt;=BATAS_BAHAS_ULANG,"-",IF(H133="Diganti/Dibuang","Tinjau soal","Ya"))))</f>
        <v>Ya</v>
      </c>
      <c r="L133" s="70" t="n">
        <f aca="false">IF(J133="Ya",A133,"")</f>
        <v>38</v>
      </c>
      <c r="M133" s="72" t="str">
        <f aca="false">IF(AND(J133="Ya",B133&lt;&gt;"(belum diisi)"),B133,"")</f>
        <v/>
      </c>
      <c r="N133" s="70" t="str">
        <f aca="false">IF(J133="Tinjau soal",A133,"")</f>
        <v/>
      </c>
    </row>
    <row r="134" customFormat="false" ht="14.25" hidden="false" customHeight="false" outlineLevel="0" collapsed="false">
      <c r="A134" s="65" t="n">
        <f aca="false">IF(ANALISIS!B44="","",ANALISIS!A44)</f>
        <v>39</v>
      </c>
      <c r="B134" s="66" t="str">
        <f aca="false">IF(A134="","",IF(ANALISIS!S44="","(belum diisi)",ANALISIS!S44))</f>
        <v>(belum diisi)</v>
      </c>
      <c r="C134" s="65" t="str">
        <f aca="false">IF(A134="","",ANALISIS!B44)</f>
        <v>D</v>
      </c>
      <c r="D134" s="56" t="n">
        <f aca="false">IF(A134="","",ANALISIS!E44)</f>
        <v>0.548387096774194</v>
      </c>
      <c r="E134" s="55" t="n">
        <f aca="false">IF(OR(A134="",N_REMEDIAL=0),"",SUMIFS(SKOR!AQ$6:AQ$55,$F$43:$F$92,"Remedial")/N_REMEDIAL)</f>
        <v>0.56</v>
      </c>
      <c r="F134" s="55" t="n">
        <f aca="false">IF(OR(A134="",N_PENGAYAAN=0),"",SUMIFS(SKOR!AQ$6:AQ$55,$F$43:$F$92,"Pengayaan")/N_PENGAYAAN)</f>
        <v>0.5</v>
      </c>
      <c r="G134" s="66" t="str">
        <f aca="false">IF(A134="","",IF(J134="Ya","Bahas ulang pada kegiatan remedial",IF(J134="Tinjau soal","Soal bermasalah: periksa kunci/redaksi dulu","Tidak perlu bahasan khusus")))</f>
        <v>Soal bermasalah: periksa kunci/redaksi dulu</v>
      </c>
      <c r="H134" s="71" t="str">
        <f aca="false">IF(A134="","",ANALISIS!Q44)</f>
        <v>Diganti/Dibuang</v>
      </c>
      <c r="I134" s="54" t="n">
        <f aca="false">IF(OR(A134="",N_REMEDIAL=0),"",COUNTIFS($F$43:$F$92,"Remedial",SKOR!AQ$6:AQ$55,0))</f>
        <v>11</v>
      </c>
      <c r="J134" s="68" t="str">
        <f aca="false">IF(A134="","",IF(N_REMEDIAL=0,"-",IF(E134&gt;=BATAS_BAHAS_ULANG,"-",IF(H134="Diganti/Dibuang","Tinjau soal","Ya"))))</f>
        <v>Tinjau soal</v>
      </c>
      <c r="L134" s="70" t="str">
        <f aca="false">IF(J134="Ya",A134,"")</f>
        <v/>
      </c>
      <c r="M134" s="72" t="str">
        <f aca="false">IF(AND(J134="Ya",B134&lt;&gt;"(belum diisi)"),B134,"")</f>
        <v/>
      </c>
      <c r="N134" s="70" t="n">
        <f aca="false">IF(J134="Tinjau soal",A134,"")</f>
        <v>39</v>
      </c>
    </row>
    <row r="135" customFormat="false" ht="14.25" hidden="false" customHeight="false" outlineLevel="0" collapsed="false">
      <c r="A135" s="65" t="n">
        <f aca="false">IF(ANALISIS!B45="","",ANALISIS!A45)</f>
        <v>40</v>
      </c>
      <c r="B135" s="66" t="str">
        <f aca="false">IF(A135="","",IF(ANALISIS!S45="","(belum diisi)",ANALISIS!S45))</f>
        <v>(belum diisi)</v>
      </c>
      <c r="C135" s="65" t="str">
        <f aca="false">IF(A135="","",ANALISIS!B45)</f>
        <v>C</v>
      </c>
      <c r="D135" s="56" t="n">
        <f aca="false">IF(A135="","",ANALISIS!E45)</f>
        <v>0.709677419354839</v>
      </c>
      <c r="E135" s="55" t="n">
        <f aca="false">IF(OR(A135="",N_REMEDIAL=0),"",SUMIFS(SKOR!AR$6:AR$55,$F$43:$F$92,"Remedial")/N_REMEDIAL)</f>
        <v>0.64</v>
      </c>
      <c r="F135" s="55" t="n">
        <f aca="false">IF(OR(A135="",N_PENGAYAAN=0),"",SUMIFS(SKOR!AR$6:AR$55,$F$43:$F$92,"Pengayaan")/N_PENGAYAAN)</f>
        <v>1</v>
      </c>
      <c r="G135" s="66" t="str">
        <f aca="false">IF(A135="","",IF(J135="Ya","Bahas ulang pada kegiatan remedial",IF(J135="Tinjau soal","Soal bermasalah: periksa kunci/redaksi dulu","Tidak perlu bahasan khusus")))</f>
        <v>Tidak perlu bahasan khusus</v>
      </c>
      <c r="H135" s="71" t="str">
        <f aca="false">IF(A135="","",ANALISIS!Q45)</f>
        <v>Diganti/Dibuang</v>
      </c>
      <c r="I135" s="54" t="n">
        <f aca="false">IF(OR(A135="",N_REMEDIAL=0),"",COUNTIFS($F$43:$F$92,"Remedial",SKOR!AR$6:AR$55,0))</f>
        <v>9</v>
      </c>
      <c r="J135" s="68" t="str">
        <f aca="false">IF(A135="","",IF(N_REMEDIAL=0,"-",IF(E135&gt;=BATAS_BAHAS_ULANG,"-",IF(H135="Diganti/Dibuang","Tinjau soal","Ya"))))</f>
        <v>-</v>
      </c>
      <c r="L135" s="70" t="str">
        <f aca="false">IF(J135="Ya",A135,"")</f>
        <v/>
      </c>
      <c r="M135" s="72" t="str">
        <f aca="false">IF(AND(J135="Ya",B135&lt;&gt;"(belum diisi)"),B135,"")</f>
        <v/>
      </c>
      <c r="N135" s="70" t="str">
        <f aca="false">IF(J135="Tinjau soal",A135,"")</f>
        <v/>
      </c>
    </row>
    <row r="138" customFormat="false" ht="14.25" hidden="false" customHeight="false" outlineLevel="0" collapsed="false">
      <c r="G138" s="51" t="str">
        <f aca="false">TEMPAT_TTD&amp;", "&amp;TANGGAL_ANALISIS</f>
        <v>Subang, Senin, 01 Desember 2025</v>
      </c>
    </row>
    <row r="139" customFormat="false" ht="14.25" hidden="false" customHeight="false" outlineLevel="0" collapsed="false">
      <c r="A139" s="51" t="s">
        <v>281</v>
      </c>
      <c r="G139" s="51" t="s">
        <v>282</v>
      </c>
    </row>
    <row r="140" customFormat="false" ht="14.25" hidden="false" customHeight="false" outlineLevel="0" collapsed="false">
      <c r="A140" s="51" t="s">
        <v>283</v>
      </c>
    </row>
    <row r="144" customFormat="false" ht="14.25" hidden="false" customHeight="false" outlineLevel="0" collapsed="false">
      <c r="A144" s="73" t="str">
        <f aca="false">KEPALA_NAMA</f>
        <v>Rosih, S.Ag</v>
      </c>
      <c r="G144" s="73" t="str">
        <f aca="false">GURU_NAMA</f>
        <v>Enok Demiyati, S.Pd.</v>
      </c>
    </row>
    <row r="145" customFormat="false" ht="14.25" hidden="false" customHeight="false" outlineLevel="0" collapsed="false">
      <c r="A145" s="51" t="str">
        <f aca="false">"NIP. "&amp;NIP_KEPALA</f>
        <v>NIP. 197010281994032001</v>
      </c>
      <c r="G145" s="51" t="str">
        <f aca="false">"NIP. "&amp;NIP_GURU</f>
        <v>NIP. 196906252005012003</v>
      </c>
    </row>
  </sheetData>
  <autoFilter ref="A42:J92"/>
  <mergeCells count="49">
    <mergeCell ref="A6:J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3:J23"/>
    <mergeCell ref="A24:J24"/>
    <mergeCell ref="A25:B25"/>
    <mergeCell ref="C25:J25"/>
    <mergeCell ref="A26:B26"/>
    <mergeCell ref="C26:J26"/>
    <mergeCell ref="A27:B27"/>
    <mergeCell ref="C27:J27"/>
    <mergeCell ref="A28:B28"/>
    <mergeCell ref="C28:J28"/>
    <mergeCell ref="A29:B29"/>
    <mergeCell ref="C29:J29"/>
    <mergeCell ref="A30:B30"/>
    <mergeCell ref="C30:J30"/>
    <mergeCell ref="A31:B31"/>
    <mergeCell ref="C31:J31"/>
    <mergeCell ref="A32:B32"/>
    <mergeCell ref="C32:J32"/>
    <mergeCell ref="A33:J33"/>
    <mergeCell ref="A34:B34"/>
    <mergeCell ref="C34:J34"/>
    <mergeCell ref="A35:B35"/>
    <mergeCell ref="C35:J35"/>
    <mergeCell ref="A36:B36"/>
    <mergeCell ref="C36:J36"/>
    <mergeCell ref="A37:B37"/>
    <mergeCell ref="C37:J37"/>
    <mergeCell ref="A38:B38"/>
    <mergeCell ref="C38:J38"/>
    <mergeCell ref="A39:B39"/>
    <mergeCell ref="C39:J39"/>
    <mergeCell ref="A41:J41"/>
    <mergeCell ref="A94:J94"/>
  </mergeCells>
  <conditionalFormatting sqref="F43:G92">
    <cfRule type="expression" priority="2" aboveAverage="0" equalAverage="0" bottom="0" percent="0" rank="0" text="" dxfId="10">
      <formula>$F43="Remedial"</formula>
    </cfRule>
    <cfRule type="expression" priority="3" aboveAverage="0" equalAverage="0" bottom="0" percent="0" rank="0" text="" dxfId="11">
      <formula>$F43="Pengayaan"</formula>
    </cfRule>
  </conditionalFormatting>
  <conditionalFormatting sqref="J96:J135">
    <cfRule type="expression" priority="4" aboveAverage="0" equalAverage="0" bottom="0" percent="0" rank="0" text="" dxfId="10">
      <formula>$J96="Ya"</formula>
    </cfRule>
    <cfRule type="expression" priority="5" aboveAverage="0" equalAverage="0" bottom="0" percent="0" rank="0" text="" dxfId="12">
      <formula>$J96="Tinjau soal"</formula>
    </cfRule>
  </conditionalFormatting>
  <printOptions headings="false" gridLines="false" gridLinesSet="true" horizontalCentered="false" verticalCentered="false"/>
  <pageMargins left="0.120138888888889" right="0.129861111111111" top="1" bottom="0.490277777777778"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2026-10-13T09:17:03Z</dcterms:created>
  <dc:creator>openpyxl</dc:creator>
  <dc:description/>
  <dc:language>en-US</dc:language>
  <cp:lastModifiedBy/>
  <cp:lastPrinted>2026-10-21T01:28:26Z</cp:lastPrinted>
  <dcterms:modified xsi:type="dcterms:W3CDTF">2026-10-22T01:16:22Z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